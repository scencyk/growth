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jalizacje" sheetId="1" state="visible" r:id="rId3"/>
    <sheet name="Obszary terapeutyczne" sheetId="2" state="visible" r:id="rId4"/>
    <sheet name="Role użytkowników" sheetId="3" state="visible" r:id="rId5"/>
    <sheet name="Statusy lekarzy" sheetId="4" state="visible" r:id="rId6"/>
    <sheet name="Mianownik SCR" sheetId="5" state="visible" r:id="rId7"/>
    <sheet name="Demograf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<sst xmlns="http://schemas.openxmlformats.org/spreadsheetml/2006/main" count="364" uniqueCount="252">
  <si>
    <t xml:space="preserve">Remedium vs NIL — Penetracja per specjalizacja</t>
  </si>
  <si>
    <t xml:space="preserve">Dane: PostHog (23.03.2026) vs NIL CRL RP (31.12.2025). Adresowalny rynek: ~130,000 lekarzy. Zapytania: spec + open_spec + suggestedSpec, role=doctor.</t>
  </si>
  <si>
    <t xml:space="preserve">Specjalizacja</t>
  </si>
  <si>
    <t xml:space="preserve">NIL (wyk. zawód)</t>
  </si>
  <si>
    <t xml:space="preserve">Remedium (PostHog)</t>
  </si>
  <si>
    <t xml:space="preserve">SCR (penetracja)</t>
  </si>
  <si>
    <t xml:space="preserve">Luka (do zdobycia)</t>
  </si>
  <si>
    <t xml:space="preserve">Tier kampanii</t>
  </si>
  <si>
    <t xml:space="preserve">Komentarz</t>
  </si>
  <si>
    <t xml:space="preserve">Query PostHog (HogQL)</t>
  </si>
  <si>
    <t xml:space="preserve">Choroby wewnętrzne (internista)</t>
  </si>
  <si>
    <t xml:space="preserve">ALL/POZ</t>
  </si>
  <si>
    <t xml:space="preserve">SELECT count() FROM persons WHERE properties.role = 'doctor' AND (properties.specialization ILIKE '%wewnetrzn%' OR properties.open_specialization ILIKE '%wewnetrzn%' OR properties.suggestedSpecializations ILIKE '%wewnetrzn%')</t>
  </si>
  <si>
    <t xml:space="preserve">Pediatria</t>
  </si>
  <si>
    <t xml:space="preserve">SELECT count() FROM persons WHERE properties.role = 'doctor' AND (properties.specialization ILIKE '%pediatr%' OR properties.open_specialization ILIKE '%pediatr%' OR properties.suggestedSpecializations ILIKE '%pediatr%')</t>
  </si>
  <si>
    <t xml:space="preserve">Medycyna rodzinna (POZ)</t>
  </si>
  <si>
    <t xml:space="preserve">SELECT count() FROM persons WHERE properties.role = 'doctor' AND (properties.specialization ILIKE '%rodzinn%' OR properties.open_specialization ILIKE '%rodzinn%' OR properties.suggestedSpecializations ILIKE '%rodzinn%')</t>
  </si>
  <si>
    <t xml:space="preserve">Chirurgia ogólna</t>
  </si>
  <si>
    <t xml:space="preserve">Duża spec</t>
  </si>
  <si>
    <t xml:space="preserve">SELECT count() FROM persons WHERE properties.role = 'doctor' AND (properties.specialization ILIKE '%chirurgia-ogol%' OR properties.open_specialization ILIKE '%chirurgia-ogol%' OR properties.suggestedSpecializations ILIKE '%chirurgia-ogol%')</t>
  </si>
  <si>
    <t xml:space="preserve">Położnictwo i ginekologia — Pakiet</t>
  </si>
  <si>
    <t xml:space="preserve">Pakiet: ginekologia + ginekologia onkologiczna</t>
  </si>
  <si>
    <t xml:space="preserve">SELECT count() FROM persons WHERE properties.role = 'doctor' AND (properties.specialization ILIKE '%ginekolog%' OR properties.open_specialization ILIKE '%ginekolog%' OR properties.suggestedSpecializations ILIKE '%ginekolog%')</t>
  </si>
  <si>
    <t xml:space="preserve">Anestezjologia i intensywna terapia</t>
  </si>
  <si>
    <t xml:space="preserve">SELECT count() FROM persons WHERE properties.role = 'doctor' AND (properties.specialization ILIKE '%anestezjolog%' OR properties.open_specialization ILIKE '%anestezjolog%' OR properties.suggestedSpecializations ILIKE '%anestezjolog%')</t>
  </si>
  <si>
    <t xml:space="preserve">Kardiologia — Pakiet</t>
  </si>
  <si>
    <t xml:space="preserve">Pakiet: kardiologia + kardiologia dziecięca</t>
  </si>
  <si>
    <t xml:space="preserve">SELECT count() FROM persons WHERE properties.role = 'doctor' AND (properties.specialization ILIKE '%kardiolog%' OR properties.open_specialization ILIKE '%kardiolog%' OR properties.suggestedSpecializations ILIKE '%kardiolog%')</t>
  </si>
  <si>
    <t xml:space="preserve">Okulistyka</t>
  </si>
  <si>
    <t xml:space="preserve">SELECT count() FROM persons WHERE properties.role = 'doctor' AND (properties.specialization ILIKE '%okulist%' OR properties.open_specialization ILIKE '%okulist%' OR properties.suggestedSpecializations ILIKE '%okulist%')</t>
  </si>
  <si>
    <t xml:space="preserve">Psychiatria — Pakiet</t>
  </si>
  <si>
    <t xml:space="preserve">Pakiet: psychiatria + psychiatria dzieci i młodzieży</t>
  </si>
  <si>
    <t xml:space="preserve">SELECT count() FROM persons WHERE properties.role = 'doctor' AND (properties.specialization ILIKE '%psychiatr%' OR properties.open_specialization ILIKE '%psychiatr%' OR properties.suggestedSpecializations ILIKE '%psychiatr%')</t>
  </si>
  <si>
    <t xml:space="preserve">Ortopedia i traumatologia</t>
  </si>
  <si>
    <t xml:space="preserve">SELECT count() FROM persons WHERE properties.role = 'doctor' AND (properties.specialization ILIKE '%ortoped%' OR properties.open_specialization ILIKE '%ortoped%' OR properties.suggestedSpecializations ILIKE '%ortoped%')</t>
  </si>
  <si>
    <t xml:space="preserve">Neurologia — Pakiet</t>
  </si>
  <si>
    <t xml:space="preserve">Pakiet: neurologia + neurologia dziecięca</t>
  </si>
  <si>
    <t xml:space="preserve">SELECT count() FROM persons WHERE properties.role = 'doctor' AND (properties.specialization ILIKE '%neurolog%' OR properties.open_specialization ILIKE '%neurolog%' OR properties.suggestedSpecializations ILIKE '%neurolog%')</t>
  </si>
  <si>
    <t xml:space="preserve">Radiologia i diagnostyka obrazowa</t>
  </si>
  <si>
    <t xml:space="preserve">SELECT count() FROM persons WHERE properties.role = 'doctor' AND (properties.specialization ILIKE '%radiolog%' OR properties.open_specialization ILIKE '%radiolog%' OR properties.suggestedSpecializations ILIKE '%radiolog%')</t>
  </si>
  <si>
    <t xml:space="preserve">Otorynolaryngologia — Pakiet</t>
  </si>
  <si>
    <t xml:space="preserve">Pakiet: otorynolaryngologia + otorynolaryngologia dziecięca</t>
  </si>
  <si>
    <t xml:space="preserve">SELECT count() FROM persons WHERE properties.role = 'doctor' AND (properties.specialization ILIKE '%laryngolog%' OR properties.open_specialization ILIKE '%laryngolog%' OR properties.suggestedSpecializations ILIKE '%laryngolog%')</t>
  </si>
  <si>
    <t xml:space="preserve">Choroby płuc — Pakiet</t>
  </si>
  <si>
    <t xml:space="preserve">Pakiet: choroby płuc + choroby płuc dzieci</t>
  </si>
  <si>
    <t xml:space="preserve">SELECT count() FROM persons WHERE properties.role = 'doctor' AND (properties.specialization ILIKE '%choroby-pluc%' OR properties.open_specialization ILIKE '%choroby-pluc%' OR properties.suggestedSpecializations ILIKE '%choroby-pluc%')</t>
  </si>
  <si>
    <t xml:space="preserve">Dermatologia i wenerologia</t>
  </si>
  <si>
    <t xml:space="preserve">SELECT count() FROM persons WHERE properties.role = 'doctor' AND (properties.specialization ILIKE '%dermatolog%' OR properties.open_specialization ILIKE '%dermatolog%' OR properties.suggestedSpecializations ILIKE '%dermatolog%')</t>
  </si>
  <si>
    <t xml:space="preserve">Rehabilitacja medyczna</t>
  </si>
  <si>
    <t xml:space="preserve">Mała spec</t>
  </si>
  <si>
    <t xml:space="preserve">SELECT count() FROM persons WHERE properties.role = 'doctor' AND (properties.specialization ILIKE '%rehabilitac%' OR properties.open_specialization ILIKE '%rehabilitac%' OR properties.suggestedSpecializations ILIKE '%rehabilitac%')</t>
  </si>
  <si>
    <t xml:space="preserve">Reumatologia</t>
  </si>
  <si>
    <t xml:space="preserve">SELECT count() FROM persons WHERE properties.role = 'doctor' AND (properties.specialization ILIKE '%reumatolog%' OR properties.open_specialization ILIKE '%reumatolog%' OR properties.suggestedSpecializations ILIKE '%reumatolog%')</t>
  </si>
  <si>
    <t xml:space="preserve">Endokrynologia — Pakiet</t>
  </si>
  <si>
    <t xml:space="preserve">Pakiet: endokrynologia + endokrynologia dziecięca + endokrynologia ginekologiczna</t>
  </si>
  <si>
    <t xml:space="preserve">SELECT count() FROM persons WHERE properties.role = 'doctor' AND (properties.specialization ILIKE '%endokrynolog%' OR properties.open_specialization ILIKE '%endokrynolog%' OR properties.suggestedSpecializations ILIKE '%endokrynolog%')</t>
  </si>
  <si>
    <t xml:space="preserve">Neonatologia</t>
  </si>
  <si>
    <t xml:space="preserve">SELECT count() FROM persons WHERE properties.role = 'doctor' AND (properties.specialization ILIKE '%neonatolog%' OR properties.open_specialization ILIKE '%neonatolog%' OR properties.suggestedSpecializations ILIKE '%neonatolog%')</t>
  </si>
  <si>
    <t xml:space="preserve">Diabetologia</t>
  </si>
  <si>
    <t xml:space="preserve">SELECT count() FROM persons WHERE properties.role = 'doctor' AND (properties.specialization ILIKE '%diabetolog%' OR properties.open_specialization ILIKE '%diabetolog%' OR properties.suggestedSpecializations ILIKE '%diabetolog%')</t>
  </si>
  <si>
    <t xml:space="preserve">Urologia</t>
  </si>
  <si>
    <t xml:space="preserve">SELECT count() FROM persons WHERE properties.role = 'doctor' AND (properties.specialization ILIKE '%urolog%' OR properties.open_specialization ILIKE '%urolog%' OR properties.suggestedSpecializations ILIKE '%urolog%')</t>
  </si>
  <si>
    <t xml:space="preserve">Alergologia</t>
  </si>
  <si>
    <t xml:space="preserve">SELECT count() FROM persons WHERE properties.role = 'doctor' AND (properties.specialization ILIKE '%alergolog%' OR properties.open_specialization ILIKE '%alergolog%' OR properties.suggestedSpecializations ILIKE '%alergolog%')</t>
  </si>
  <si>
    <t xml:space="preserve">Nefrologia — Pakiet</t>
  </si>
  <si>
    <t xml:space="preserve">Pakiet: nefrologia + nefrologia dziecięca</t>
  </si>
  <si>
    <t xml:space="preserve">SELECT count() FROM persons WHERE properties.role = 'doctor' AND (properties.specialization ILIKE '%nefrolog%' OR properties.open_specialization ILIKE '%nefrolog%' OR properties.suggestedSpecializations ILIKE '%nefrolog%')</t>
  </si>
  <si>
    <t xml:space="preserve">Onkologia — Pakiet</t>
  </si>
  <si>
    <t xml:space="preserve">Pakiet: onkologia kliniczna + radioterapia onko + chirurgia onko + gineko-onko + onko dziecięca</t>
  </si>
  <si>
    <t xml:space="preserve">SELECT count() FROM persons WHERE properties.role = 'doctor' AND (properties.specialization ILIKE '%onkologi%' OR properties.open_specialization ILIKE '%onkologi%' OR properties.suggestedSpecializations ILIKE '%onkologi%')</t>
  </si>
  <si>
    <t xml:space="preserve">Medycyna ratunkowa</t>
  </si>
  <si>
    <t xml:space="preserve">SELECT count() FROM persons WHERE properties.role = 'doctor' AND (properties.specialization ILIKE '%ratunkow%' OR properties.open_specialization ILIKE '%ratunkow%' OR properties.suggestedSpecializations ILIKE '%ratunkow%')</t>
  </si>
  <si>
    <t xml:space="preserve">Choroby zakaźne</t>
  </si>
  <si>
    <t xml:space="preserve">SELECT count() FROM persons WHERE properties.role = 'doctor' AND (properties.specialization ILIKE '%zakazn%' OR properties.open_specialization ILIKE '%zakazn%' OR properties.suggestedSpecializations ILIKE '%zakazn%')</t>
  </si>
  <si>
    <t xml:space="preserve">Chirurgia onkologiczna</t>
  </si>
  <si>
    <t xml:space="preserve">SELECT count() FROM persons WHERE properties.role = 'doctor' AND (properties.specialization ILIKE '%chirurgia-onkol%' OR properties.open_specialization ILIKE '%chirurgia-onkol%' OR properties.suggestedSpecializations ILIKE '%chirurgia-onkol%')</t>
  </si>
  <si>
    <t xml:space="preserve">Chirurgia naczyniowa</t>
  </si>
  <si>
    <t xml:space="preserve">SELECT count() FROM persons WHERE properties.role = 'doctor' AND (properties.specialization ILIKE '%naczyniow%' OR properties.open_specialization ILIKE '%naczyniow%' OR properties.suggestedSpecializations ILIKE '%naczyniow%')</t>
  </si>
  <si>
    <t xml:space="preserve">Medycyna paliatywna</t>
  </si>
  <si>
    <t xml:space="preserve">SELECT count() FROM persons WHERE properties.role = 'doctor' AND (properties.specialization ILIKE '%paliatywn%' OR properties.open_specialization ILIKE '%paliatywn%' OR properties.suggestedSpecializations ILIKE '%paliatywn%')</t>
  </si>
  <si>
    <t xml:space="preserve">Hematologia</t>
  </si>
  <si>
    <t xml:space="preserve">SELECT count() FROM persons WHERE properties.role = 'doctor' AND (properties.specialization ILIKE '%hematolog%' OR properties.open_specialization ILIKE '%hematolog%' OR properties.suggestedSpecializations ILIKE '%hematolog%')</t>
  </si>
  <si>
    <t xml:space="preserve">Geriatria</t>
  </si>
  <si>
    <t xml:space="preserve">SELECT count() FROM persons WHERE properties.role = 'doctor' AND (properties.specialization ILIKE '%geriatr%' OR properties.open_specialization ILIKE '%geriatr%' OR properties.suggestedSpecializations ILIKE '%geriatr%')</t>
  </si>
  <si>
    <t xml:space="preserve">Transplantologia kliniczna</t>
  </si>
  <si>
    <t xml:space="preserve">SELECT count() FROM persons WHERE properties.role = 'doctor' AND (properties.specialization ILIKE '%transplantolog%' OR properties.open_specialization ILIKE '%transplantolog%' OR properties.suggestedSpecializations ILIKE '%transplantolog%')</t>
  </si>
  <si>
    <t xml:space="preserve">Neurochirurgia</t>
  </si>
  <si>
    <t xml:space="preserve">SELECT count() FROM persons WHERE properties.role = 'doctor' AND (properties.specialization ILIKE '%neurochirurg%' OR properties.open_specialization ILIKE '%neurochirurg%' OR properties.suggestedSpecializations ILIKE '%neurochirurg%')</t>
  </si>
  <si>
    <t xml:space="preserve">Kardiochirurgia</t>
  </si>
  <si>
    <t xml:space="preserve">SELECT count() FROM persons WHERE properties.role = 'doctor' AND (properties.specialization ILIKE '%kardiochirurg%' OR properties.open_specialization ILIKE '%kardiochirurg%' OR properties.suggestedSpecializations ILIKE '%kardiochirurg%')</t>
  </si>
  <si>
    <t xml:space="preserve">Chirurgia plastyczna</t>
  </si>
  <si>
    <t xml:space="preserve">SELECT count() FROM persons WHERE properties.role = 'doctor' AND (properties.specialization ILIKE '%plastyczn%' OR properties.open_specialization ILIKE '%plastyczn%' OR properties.suggestedSpecializations ILIKE '%plastyczn%')</t>
  </si>
  <si>
    <t xml:space="preserve">Gastroenterologia — Pakiet</t>
  </si>
  <si>
    <t xml:space="preserve">Pakiet: gastroenterologia + gastroenterologia dziecięca</t>
  </si>
  <si>
    <t xml:space="preserve">SELECT count() FROM persons WHERE properties.role = 'doctor' AND (properties.specialization ILIKE '%gastroenterolog%' OR properties.open_specialization ILIKE '%gastroenterolog%' OR properties.suggestedSpecializations ILIKE '%gastroenterolog%')</t>
  </si>
  <si>
    <t xml:space="preserve">Lekarze POZ / bez specjalizacji (status)</t>
  </si>
  <si>
    <t xml:space="preserve">Filtr po status=without_specialization, nie po specjalizacji. To lekarze bez wpisu specjalizacji — większość to POZ. Kluczowy segment dla kampanii ALL/POZ (87% budżetu 2024).</t>
  </si>
  <si>
    <t xml:space="preserve">SELECT count() FROM persons WHERE properties.role = 'doctor' AND properties.status = 'without_specialization'</t>
  </si>
  <si>
    <t xml:space="preserve">SUMA (uwaga: lekarze mogą mieć &gt;1 spec)</t>
  </si>
  <si>
    <t xml:space="preserve">— suma powyższych (uwaga: lekarz może mieć &gt;1 spec)</t>
  </si>
  <si>
    <t xml:space="preserve">Obszary terapeutyczne — Remedium vs budżet sprzedaży 2026</t>
  </si>
  <si>
    <t xml:space="preserve">Dane: PostHog (23.03.2026). Budżet: plik Budżetowanie-final.xlsx (plan 100%). Liczby PostHog deduplikowane per obszar.</t>
  </si>
  <si>
    <t xml:space="preserve">Obszar terapeutyczny</t>
  </si>
  <si>
    <t xml:space="preserve">Specjalizacje w składzie</t>
  </si>
  <si>
    <t xml:space="preserve">NIL (rynek)</t>
  </si>
  <si>
    <t xml:space="preserve">SCR</t>
  </si>
  <si>
    <t xml:space="preserve">Budżet 2026 (PLN)</t>
  </si>
  <si>
    <t xml:space="preserve">% budżetu</t>
  </si>
  <si>
    <t xml:space="preserve">Tier</t>
  </si>
  <si>
    <t xml:space="preserve">POZ / Interniści / ALL</t>
  </si>
  <si>
    <t xml:space="preserve">choroby wewnętrzne + medycyna rodzinna + lekarze bez specjalizacji (status=without_specialization). Lekarze POZ często nie mają wypełnionej specjalizacji — bez tego filtra tracimy ~18K lekarzy widocznych dla kampanii ALL/POZ.</t>
  </si>
  <si>
    <t xml:space="preserve">T1</t>
  </si>
  <si>
    <t xml:space="preserve">SELECT count() FROM persons WHERE properties.role = 'doctor' AND (properties.specialization ILIKE '%wewnetrzn%' OR properties.open_specialization ILIKE '%wewnetrzn%' OR properties.suggestedSpecializations ILIKE '%wewnetrzn%' OR properties.specialization ILIKE '%rodzinn%' OR properties.open_specialization ILIKE '%rodzinn%' OR properties.suggestedSpecializations ILIKE '%rodzinn%' OR properties.status = 'without_specialization')</t>
  </si>
  <si>
    <t xml:space="preserve">Kardiologia</t>
  </si>
  <si>
    <t xml:space="preserve">kardiologia + kardiochirurgia + angiologia + hipertensjologia</t>
  </si>
  <si>
    <t xml:space="preserve">T2</t>
  </si>
  <si>
    <t xml:space="preserve">SELECT count() FROM persons WHERE properties.role = 'doctor' AND (properties.specialization ILIKE '%kardiolog%' OR properties.open_specialization ILIKE '%kardiolog%' OR properties.suggestedSpecializations ILIKE '%kardiolog%' OR properties.specialization ILIKE '%kardiochirurg%' OR properties.open_specialization ILIKE '%kardiochirurg%' OR properties.suggestedSpecializations ILIKE '%kardiochirurg%' OR properties.specialization ILIKE '%angiolog%' OR properties.open_specialization ILIKE '%angiolog%' OR properties.suggestedSpecializations ILIKE '%angiolog%' OR properties.specialization ILIKE '%hipertensjolog%' OR properties.open_specialization ILIKE '%hipertensjolog%' OR properties.suggestedSpecializations ILIKE '%hipertensjolog%')</t>
  </si>
  <si>
    <t xml:space="preserve">Diabetologia / Endokrynologia</t>
  </si>
  <si>
    <t xml:space="preserve">diabetologia + endokrynologia (+ dziecięca + ginekologiczna)</t>
  </si>
  <si>
    <t xml:space="preserve">SELECT count() FROM persons WHERE properties.role = 'doctor' AND (properties.specialization ILIKE '%diabetolog%' OR properties.open_specialization ILIKE '%diabetolog%' OR properties.suggestedSpecializations ILIKE '%diabetolog%' OR properties.specialization ILIKE '%endokrynolog%' OR properties.open_specialization ILIKE '%endokrynolog%' OR properties.suggestedSpecializations ILIKE '%endokrynolog%')</t>
  </si>
  <si>
    <t xml:space="preserve">Pediatria / Szczepienia</t>
  </si>
  <si>
    <t xml:space="preserve">pediatria + neonatologia</t>
  </si>
  <si>
    <t xml:space="preserve">SELECT count() FROM persons WHERE properties.role = 'doctor' AND (properties.specialization ILIKE '%pediatr%' OR properties.open_specialization ILIKE '%pediatr%' OR properties.suggestedSpecializations ILIKE '%pediatr%' OR properties.specialization ILIKE '%neonatolog%' OR properties.open_specialization ILIKE '%neonatolog%' OR properties.suggestedSpecializations ILIKE '%neonatolog%')</t>
  </si>
  <si>
    <t xml:space="preserve">Ginekologia</t>
  </si>
  <si>
    <t xml:space="preserve">ginekologia + ginekologia onkologiczna</t>
  </si>
  <si>
    <t xml:space="preserve">Psychiatria</t>
  </si>
  <si>
    <t xml:space="preserve">psychiatria + psychiatria dzieci i młodzieży</t>
  </si>
  <si>
    <t xml:space="preserve">OK</t>
  </si>
  <si>
    <t xml:space="preserve">Infekcje</t>
  </si>
  <si>
    <t xml:space="preserve">choroby zakaźne (+ kampanie ALL/POZ)</t>
  </si>
  <si>
    <t xml:space="preserve">Gastroenterologia</t>
  </si>
  <si>
    <t xml:space="preserve">gastroenterologia + gastroenterologia dziecięca</t>
  </si>
  <si>
    <t xml:space="preserve">T4</t>
  </si>
  <si>
    <t xml:space="preserve">Pulmonologia / Alergo</t>
  </si>
  <si>
    <t xml:space="preserve">choroby płuc (+ dzieci) + alergologia</t>
  </si>
  <si>
    <t xml:space="preserve">SELECT count() FROM persons WHERE properties.role = 'doctor' AND (properties.specialization ILIKE '%choroby-pluc%' OR properties.open_specialization ILIKE '%choroby-pluc%' OR properties.suggestedSpecializations ILIKE '%choroby-pluc%' OR properties.specialization ILIKE '%alergolog%' OR properties.open_specialization ILIKE '%alergolog%' OR properties.suggestedSpecializations ILIKE '%alergolog%')</t>
  </si>
  <si>
    <t xml:space="preserve">Neurologia</t>
  </si>
  <si>
    <t xml:space="preserve">neurologia (+ dziecięca) + neurochirurgia</t>
  </si>
  <si>
    <t xml:space="preserve">T3</t>
  </si>
  <si>
    <t xml:space="preserve">SELECT count() FROM persons WHERE properties.role = 'doctor' AND (properties.specialization ILIKE '%neurolog%' OR properties.open_specialization ILIKE '%neurolog%' OR properties.suggestedSpecializations ILIKE '%neurolog%' OR properties.specialization ILIKE '%neurochirurg%' OR properties.open_specialization ILIKE '%neurochirurg%' OR properties.suggestedSpecializations ILIKE '%neurochirurg%')</t>
  </si>
  <si>
    <t xml:space="preserve">Dermatologia</t>
  </si>
  <si>
    <t xml:space="preserve">dermatologia i wenerologia</t>
  </si>
  <si>
    <t xml:space="preserve">obs.</t>
  </si>
  <si>
    <t xml:space="preserve">Onkologia</t>
  </si>
  <si>
    <t xml:space="preserve">onkologia kliniczna + radioterapia onko + chirurgia onko + gineko-onko + onko dziecięca</t>
  </si>
  <si>
    <t xml:space="preserve">Reumatologia / Ból</t>
  </si>
  <si>
    <t xml:space="preserve">reumatologia + ortopedia i traumatologia</t>
  </si>
  <si>
    <t xml:space="preserve">SELECT count() FROM persons WHERE properties.role = 'doctor' AND (properties.specialization ILIKE '%reumatolog%' OR properties.open_specialization ILIKE '%reumatolog%' OR properties.suggestedSpecializations ILIKE '%reumatolog%' OR properties.specialization ILIKE '%ortoped%' OR properties.open_specialization ILIKE '%ortoped%' OR properties.suggestedSpecializations ILIKE '%ortoped%')</t>
  </si>
  <si>
    <t xml:space="preserve">Nefrologia / Urologia</t>
  </si>
  <si>
    <t xml:space="preserve">nefrologia (+ dziecięca) + urologia</t>
  </si>
  <si>
    <t xml:space="preserve">SELECT count() FROM persons WHERE properties.role = 'doctor' AND (properties.specialization ILIKE '%nefrolog%' OR properties.open_specialization ILIKE '%nefrolog%' OR properties.suggestedSpecializations ILIKE '%nefrolog%' OR properties.specialization ILIKE '%urolog%' OR properties.open_specialization ILIKE '%urolog%' OR properties.suggestedSpecializations ILIKE '%urolog%')</t>
  </si>
  <si>
    <t xml:space="preserve">RAZEM</t>
  </si>
  <si>
    <t xml:space="preserve">Uwaga: lekarze mogą należeć do &gt;1 obszaru. Sumy NIL i PostHog nie sumują się do total.</t>
  </si>
  <si>
    <t xml:space="preserve">Remedium — wszyscy użytkownicy wg roli</t>
  </si>
  <si>
    <t xml:space="preserve">Dane: PostHog (marzec 2026)</t>
  </si>
  <si>
    <t xml:space="preserve">Rola</t>
  </si>
  <si>
    <t xml:space="preserve">Liczba w PostHog</t>
  </si>
  <si>
    <t xml:space="preserve">% wszystkich</t>
  </si>
  <si>
    <t xml:space="preserve">W scope Growth (SCR)?</t>
  </si>
  <si>
    <t xml:space="preserve">Lekarze (doctor)</t>
  </si>
  <si>
    <t xml:space="preserve">TAK</t>
  </si>
  <si>
    <t xml:space="preserve">SELECT properties.role, count() FROM persons GROUP BY properties.role ORDER BY count() DESC</t>
  </si>
  <si>
    <t xml:space="preserve">Studenci (student)</t>
  </si>
  <si>
    <t xml:space="preserve">NIE</t>
  </si>
  <si>
    <t xml:space="preserve">Pielęgniarki (nurse)</t>
  </si>
  <si>
    <t xml:space="preserve">Dentyści (dentist)</t>
  </si>
  <si>
    <t xml:space="preserve">Farmaceuci (pharmacist)</t>
  </si>
  <si>
    <t xml:space="preserve">Ratownicy (paramedic)</t>
  </si>
  <si>
    <t xml:space="preserve">Położne (midwife)</t>
  </si>
  <si>
    <t xml:space="preserve">Biznes (business)</t>
  </si>
  <si>
    <t xml:space="preserve">Diagności laboratoryjni</t>
  </si>
  <si>
    <t xml:space="preserve">Psycholodzy</t>
  </si>
  <si>
    <t xml:space="preserve">Fizjoterapeuci</t>
  </si>
  <si>
    <t xml:space="preserve">Dietetycy</t>
  </si>
  <si>
    <t xml:space="preserve">Opiekunowie medyczni</t>
  </si>
  <si>
    <t xml:space="preserve">Absolwenci zdrowia publicznego</t>
  </si>
  <si>
    <t xml:space="preserve">Technicy radiologii</t>
  </si>
  <si>
    <t xml:space="preserve">Inne</t>
  </si>
  <si>
    <t xml:space="preserve">— suma powyższych</t>
  </si>
  <si>
    <t xml:space="preserve">Lekarze wg statusu — PostHog vs NIL</t>
  </si>
  <si>
    <t xml:space="preserve">Dane: PostHog (marzec 2026) vs NIL PWZ (31.12.2025)</t>
  </si>
  <si>
    <t xml:space="preserve">Status</t>
  </si>
  <si>
    <t xml:space="preserve">PostHog</t>
  </si>
  <si>
    <t xml:space="preserve">% lekarzy PH</t>
  </si>
  <si>
    <t xml:space="preserve">Odpowiednik NIL</t>
  </si>
  <si>
    <t xml:space="preserve">NIL (est.)</t>
  </si>
  <si>
    <t xml:space="preserve">Bez specjalizacji (without_specialization)</t>
  </si>
  <si>
    <t xml:space="preserve">POZ / ogólni / rezydenci bez deklaracji</t>
  </si>
  <si>
    <t xml:space="preserve">~60,000-70,000</t>
  </si>
  <si>
    <t xml:space="preserve">NIL nie rozdziela POZ od 'bez spec'</t>
  </si>
  <si>
    <t xml:space="preserve">SELECT properties.status, count() FROM persons WHERE properties.role = 'doctor' GROUP BY properties.status ORDER BY count() DESC</t>
  </si>
  <si>
    <t xml:space="preserve">Specjalista (specialist)</t>
  </si>
  <si>
    <t xml:space="preserve">Lekarze z ukończoną specjalizacją</t>
  </si>
  <si>
    <t xml:space="preserve">~100,000+</t>
  </si>
  <si>
    <t xml:space="preserve">Wielu ma &gt;1 spec, trudno 1:1</t>
  </si>
  <si>
    <t xml:space="preserve">Rezydent (resident)</t>
  </si>
  <si>
    <t xml:space="preserve">W trakcie specjalizacji</t>
  </si>
  <si>
    <t xml:space="preserve">~20,000-25,000</t>
  </si>
  <si>
    <t xml:space="preserve">Szacunek (brak dokł. danych NIL)</t>
  </si>
  <si>
    <t xml:space="preserve">Stażysta (intern)</t>
  </si>
  <si>
    <t xml:space="preserve">Po studiach, odbywa staż</t>
  </si>
  <si>
    <t xml:space="preserve">6,016</t>
  </si>
  <si>
    <t xml:space="preserve">PWZ 12 w NIL</t>
  </si>
  <si>
    <t xml:space="preserve">Brak danych</t>
  </si>
  <si>
    <t xml:space="preserve">Nieprzypisany status</t>
  </si>
  <si>
    <t xml:space="preserve">-</t>
  </si>
  <si>
    <t xml:space="preserve">Do oczyszczenia</t>
  </si>
  <si>
    <t xml:space="preserve">Budowa mianownika SCR — adresowalny rynek</t>
  </si>
  <si>
    <t xml:space="preserve">Źródło: NIL CRL RP (31.12.2025)</t>
  </si>
  <si>
    <t xml:space="preserve">Warstwa</t>
  </si>
  <si>
    <t xml:space="preserve">Liczba</t>
  </si>
  <si>
    <t xml:space="preserve">Operacja</t>
  </si>
  <si>
    <t xml:space="preserve">Źródło</t>
  </si>
  <si>
    <t xml:space="preserve">Lekarze wykonujący zawód</t>
  </si>
  <si>
    <t xml:space="preserve">Baza</t>
  </si>
  <si>
    <t xml:space="preserve">Zestawienie nr 1</t>
  </si>
  <si>
    <t xml:space="preserve">Dane z NIL — bez query PostHog</t>
  </si>
  <si>
    <t xml:space="preserve">Stażyści (PWZ 12)</t>
  </si>
  <si>
    <t xml:space="preserve">Minus</t>
  </si>
  <si>
    <t xml:space="preserve">Zestawienie nr 7</t>
  </si>
  <si>
    <t xml:space="preserve">Niekliniczni (patologia, lab, ZP, higiena itd.)</t>
  </si>
  <si>
    <t xml:space="preserve">Zestawienie nr 4 (est.)</t>
  </si>
  <si>
    <t xml:space="preserve">Szacunek na podst. NIL Zest. 4 — bez query PostHog</t>
  </si>
  <si>
    <t xml:space="preserve">Lekarze 71+ wyk. zawód</t>
  </si>
  <si>
    <t xml:space="preserve">Zestawienie nr 3</t>
  </si>
  <si>
    <t xml:space="preserve">ADRESOWALNY RYNEK</t>
  </si>
  <si>
    <t xml:space="preserve">Wynik</t>
  </si>
  <si>
    <t xml:space="preserve">Przyjęty: ~130,000</t>
  </si>
  <si>
    <t xml:space="preserve">Formuła Excel</t>
  </si>
  <si>
    <t xml:space="preserve">SCR TOTAL</t>
  </si>
  <si>
    <t xml:space="preserve">44,085 lekarzy w Remedium / adresowalny rynek</t>
  </si>
  <si>
    <t xml:space="preserve">SELECT count() FROM persons WHERE properties.role = 'doctor'</t>
  </si>
  <si>
    <t xml:space="preserve">SCR bez 71+ (licznik)</t>
  </si>
  <si>
    <t xml:space="preserve">43,610 = 44,085 - 475 lekarzy 71+ w Remedium</t>
  </si>
  <si>
    <t xml:space="preserve">SELECT count() FROM persons WHERE properties.role = 'doctor' AND toInt32OrNull(properties.age) &lt; 71</t>
  </si>
  <si>
    <t xml:space="preserve">Rozkład wiekowy lekarzy — Remedium vs NIL</t>
  </si>
  <si>
    <t xml:space="preserve">PostHog (marzec 2026) vs NIL (31.12.2025, wyk. zawód)</t>
  </si>
  <si>
    <t xml:space="preserve">Grupa wiekowa</t>
  </si>
  <si>
    <t xml:space="preserve">Penetracja</t>
  </si>
  <si>
    <t xml:space="preserve">% bazy Remedium</t>
  </si>
  <si>
    <t xml:space="preserve">do 25</t>
  </si>
  <si>
    <t xml:space="preserve">SELECT properties.age, count() FROM persons WHERE properties.role = 'doctor' GROUP BY properties.age ORDER BY toInt32OrNull(properties.age) ASC</t>
  </si>
  <si>
    <t xml:space="preserve">26-30</t>
  </si>
  <si>
    <t xml:space="preserve">31-35</t>
  </si>
  <si>
    <t xml:space="preserve">36-40</t>
  </si>
  <si>
    <t xml:space="preserve">41-45</t>
  </si>
  <si>
    <t xml:space="preserve">46-50</t>
  </si>
  <si>
    <t xml:space="preserve">51-55</t>
  </si>
  <si>
    <t xml:space="preserve">56-60</t>
  </si>
  <si>
    <t xml:space="preserve">61-65</t>
  </si>
  <si>
    <t xml:space="preserve">66-70</t>
  </si>
  <si>
    <t xml:space="preserve">71+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</si>
</sst>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181B"/>
      <name val="Arial"/>
      <family val="0"/>
      <charset val="1"/>
    </font>
    <font>
      <sz val="10"/>
      <color rgb="FF7171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8181B"/>
      <name val="Arial"/>
      <family val="0"/>
      <charset val="1"/>
    </font>
    <font>
      <sz val="8"/>
      <color rgb="FF71717A"/>
      <name val="Consolas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18181B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2"/>
      <color rgb="FF2E35FF"/>
      <name val="Arial"/>
      <family val="0"/>
      <charset val="1"/>
    </font>
    <font>
      <b val="true"/>
      <sz val="12"/>
      <color rgb="FF18181B"/>
      <name val="Arial"/>
      <family val="0"/>
      <charset val="1"/>
    </font>
    <font>
      <b val="true"/>
      <sz val="14"/>
      <color rgb="FF2E35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1B4B"/>
        <bgColor rgb="FF18181B"/>
      </patternFill>
    </fill>
    <fill>
      <patternFill patternType="solid">
        <fgColor rgb="FF2E35FF"/>
        <bgColor rgb="FF3366FF"/>
      </patternFill>
    </fill>
    <fill>
      <patternFill patternType="solid">
        <fgColor rgb="FFC6EFCE"/>
        <bgColor rgb="FFE4E4E7"/>
      </patternFill>
    </fill>
    <fill>
      <patternFill patternType="solid">
        <fgColor rgb="FFBDD7EE"/>
        <bgColor rgb="FFC6EFCE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4E4E7"/>
      </left>
      <right style="thin">
        <color rgb="FFE4E4E7"/>
      </right>
      <top style="thin">
        <color rgb="FFE4E4E7"/>
      </top>
      <bottom style="thin">
        <color rgb="FFE4E4E7"/>
      </bottom>
      <diagonal/>
    </border>
    <border diagonalUp="false" diagonalDown="false">
      <left/>
      <right/>
      <top/>
      <bottom style="thin">
        <color rgb="FFE4E4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666666"/>
      <rgbColor rgb="FF800080"/>
      <rgbColor rgb="FF059669"/>
      <rgbColor rgb="FFC0C0C0"/>
      <rgbColor rgb="FF888888"/>
      <rgbColor rgb="FF9999FF"/>
      <rgbColor rgb="FF7C3AED"/>
      <rgbColor rgb="FFFFFFCC"/>
      <rgbColor rgb="FFE4E4E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A580C"/>
      <rgbColor rgb="FF71717A"/>
      <rgbColor rgb="FF969696"/>
      <rgbColor rgb="FF003366"/>
      <rgbColor rgb="FF339966"/>
      <rgbColor rgb="FF18181B"/>
      <rgbColor rgb="FF333300"/>
      <rgbColor rgb="FF991B1B"/>
      <rgbColor rgb="FF993366"/>
      <rgbColor rgb="FF2E35FF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35FF"/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42"/>
    <col collapsed="false" customWidth="true" hidden="false" outlineLevel="0" max="8" min="8" style="1" width="9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customFormat="false" ht="15" hidden="false" customHeight="true" outlineLevel="0" collapsed="false">
      <c r="A5" s="6" t="s">
        <v>10</v>
      </c>
      <c r="B5" s="7" t="n">
        <v>29122</v>
      </c>
      <c r="C5" s="7" t="n">
        <v>4096</v>
      </c>
      <c r="D5" s="8" t="n">
        <f aca="false">C5/B5</f>
        <v>0.140649680653801</v>
      </c>
      <c r="E5" s="7" t="n">
        <f aca="false">B5-C5</f>
        <v>25026</v>
      </c>
      <c r="F5" s="9" t="s">
        <v>11</v>
      </c>
      <c r="G5" s="9"/>
      <c r="H5" s="10" t="s">
        <v>12</v>
      </c>
    </row>
    <row r="6" customFormat="false" ht="15" hidden="false" customHeight="true" outlineLevel="0" collapsed="false">
      <c r="A6" s="6" t="s">
        <v>13</v>
      </c>
      <c r="B6" s="7" t="n">
        <v>15438</v>
      </c>
      <c r="C6" s="7" t="n">
        <v>2770</v>
      </c>
      <c r="D6" s="8" t="n">
        <f aca="false">C6/B6</f>
        <v>0.179427386967224</v>
      </c>
      <c r="E6" s="7" t="n">
        <f aca="false">B6-C6</f>
        <v>12668</v>
      </c>
      <c r="F6" s="9" t="s">
        <v>11</v>
      </c>
      <c r="G6" s="9"/>
      <c r="H6" s="10" t="s">
        <v>14</v>
      </c>
    </row>
    <row r="7" customFormat="false" ht="15" hidden="false" customHeight="true" outlineLevel="0" collapsed="false">
      <c r="A7" s="6" t="s">
        <v>15</v>
      </c>
      <c r="B7" s="7" t="n">
        <v>12283</v>
      </c>
      <c r="C7" s="7" t="n">
        <v>3825</v>
      </c>
      <c r="D7" s="8" t="n">
        <f aca="false">C7/B7</f>
        <v>0.31140600830416</v>
      </c>
      <c r="E7" s="7" t="n">
        <f aca="false">B7-C7</f>
        <v>8458</v>
      </c>
      <c r="F7" s="9" t="s">
        <v>11</v>
      </c>
      <c r="G7" s="9"/>
      <c r="H7" s="10" t="s">
        <v>16</v>
      </c>
    </row>
    <row r="8" customFormat="false" ht="15" hidden="false" customHeight="true" outlineLevel="0" collapsed="false">
      <c r="A8" s="6" t="s">
        <v>17</v>
      </c>
      <c r="B8" s="7" t="n">
        <v>8830</v>
      </c>
      <c r="C8" s="7" t="n">
        <v>948</v>
      </c>
      <c r="D8" s="8" t="n">
        <f aca="false">C8/B8</f>
        <v>0.107361268403171</v>
      </c>
      <c r="E8" s="7" t="n">
        <f aca="false">B8-C8</f>
        <v>7882</v>
      </c>
      <c r="F8" s="9" t="s">
        <v>18</v>
      </c>
      <c r="G8" s="9"/>
      <c r="H8" s="10" t="s">
        <v>19</v>
      </c>
    </row>
    <row r="9" customFormat="false" ht="15" hidden="false" customHeight="true" outlineLevel="0" collapsed="false">
      <c r="A9" s="6" t="s">
        <v>20</v>
      </c>
      <c r="B9" s="7" t="n">
        <v>8049</v>
      </c>
      <c r="C9" s="7" t="n">
        <v>1099</v>
      </c>
      <c r="D9" s="8" t="n">
        <f aca="false">C9/B9</f>
        <v>0.136538700459684</v>
      </c>
      <c r="E9" s="7" t="n">
        <f aca="false">B9-C9</f>
        <v>6950</v>
      </c>
      <c r="F9" s="9" t="s">
        <v>18</v>
      </c>
      <c r="G9" s="9" t="s">
        <v>21</v>
      </c>
      <c r="H9" s="10" t="s">
        <v>22</v>
      </c>
    </row>
    <row r="10" customFormat="false" ht="15" hidden="false" customHeight="true" outlineLevel="0" collapsed="false">
      <c r="A10" s="6" t="s">
        <v>23</v>
      </c>
      <c r="B10" s="7" t="n">
        <v>7576</v>
      </c>
      <c r="C10" s="7" t="n">
        <v>1249</v>
      </c>
      <c r="D10" s="8" t="n">
        <f aca="false">C10/B10</f>
        <v>0.164862724392819</v>
      </c>
      <c r="E10" s="7" t="n">
        <f aca="false">B10-C10</f>
        <v>6327</v>
      </c>
      <c r="F10" s="9" t="s">
        <v>18</v>
      </c>
      <c r="G10" s="9"/>
      <c r="H10" s="10" t="s">
        <v>24</v>
      </c>
    </row>
    <row r="11" customFormat="false" ht="15" hidden="false" customHeight="true" outlineLevel="0" collapsed="false">
      <c r="A11" s="6" t="s">
        <v>25</v>
      </c>
      <c r="B11" s="7" t="n">
        <v>5579</v>
      </c>
      <c r="C11" s="7" t="n">
        <v>1202</v>
      </c>
      <c r="D11" s="8" t="n">
        <f aca="false">C11/B11</f>
        <v>0.215450797633985</v>
      </c>
      <c r="E11" s="7" t="n">
        <f aca="false">B11-C11</f>
        <v>4377</v>
      </c>
      <c r="F11" s="9" t="s">
        <v>18</v>
      </c>
      <c r="G11" s="9" t="s">
        <v>26</v>
      </c>
      <c r="H11" s="10" t="s">
        <v>27</v>
      </c>
    </row>
    <row r="12" customFormat="false" ht="15" hidden="false" customHeight="true" outlineLevel="0" collapsed="false">
      <c r="A12" s="6" t="s">
        <v>28</v>
      </c>
      <c r="B12" s="7" t="n">
        <v>4996</v>
      </c>
      <c r="C12" s="7" t="n">
        <v>441</v>
      </c>
      <c r="D12" s="8" t="n">
        <f aca="false">C12/B12</f>
        <v>0.0882706164931946</v>
      </c>
      <c r="E12" s="7" t="n">
        <f aca="false">B12-C12</f>
        <v>4555</v>
      </c>
      <c r="F12" s="9" t="s">
        <v>18</v>
      </c>
      <c r="G12" s="9"/>
      <c r="H12" s="10" t="s">
        <v>29</v>
      </c>
    </row>
    <row r="13" customFormat="false" ht="15" hidden="false" customHeight="true" outlineLevel="0" collapsed="false">
      <c r="A13" s="6" t="s">
        <v>30</v>
      </c>
      <c r="B13" s="7" t="n">
        <v>4825</v>
      </c>
      <c r="C13" s="7" t="n">
        <v>1320</v>
      </c>
      <c r="D13" s="8" t="n">
        <f aca="false">C13/B13</f>
        <v>0.273575129533679</v>
      </c>
      <c r="E13" s="7" t="n">
        <f aca="false">B13-C13</f>
        <v>3505</v>
      </c>
      <c r="F13" s="9" t="s">
        <v>18</v>
      </c>
      <c r="G13" s="9" t="s">
        <v>31</v>
      </c>
      <c r="H13" s="10" t="s">
        <v>32</v>
      </c>
    </row>
    <row r="14" customFormat="false" ht="15" hidden="false" customHeight="true" outlineLevel="0" collapsed="false">
      <c r="A14" s="6" t="s">
        <v>33</v>
      </c>
      <c r="B14" s="7" t="n">
        <v>4720</v>
      </c>
      <c r="C14" s="7" t="n">
        <v>603</v>
      </c>
      <c r="D14" s="8" t="n">
        <f aca="false">C14/B14</f>
        <v>0.127754237288136</v>
      </c>
      <c r="E14" s="7" t="n">
        <f aca="false">B14-C14</f>
        <v>4117</v>
      </c>
      <c r="F14" s="9" t="s">
        <v>18</v>
      </c>
      <c r="G14" s="9"/>
      <c r="H14" s="10" t="s">
        <v>34</v>
      </c>
    </row>
    <row r="15" customFormat="false" ht="15" hidden="false" customHeight="true" outlineLevel="0" collapsed="false">
      <c r="A15" s="6" t="s">
        <v>35</v>
      </c>
      <c r="B15" s="7" t="n">
        <v>4628</v>
      </c>
      <c r="C15" s="7" t="n">
        <v>897</v>
      </c>
      <c r="D15" s="8" t="n">
        <f aca="false">C15/B15</f>
        <v>0.193820224719101</v>
      </c>
      <c r="E15" s="7" t="n">
        <f aca="false">B15-C15</f>
        <v>3731</v>
      </c>
      <c r="F15" s="9" t="s">
        <v>18</v>
      </c>
      <c r="G15" s="9" t="s">
        <v>36</v>
      </c>
      <c r="H15" s="10" t="s">
        <v>37</v>
      </c>
    </row>
    <row r="16" customFormat="false" ht="15" hidden="false" customHeight="true" outlineLevel="0" collapsed="false">
      <c r="A16" s="6" t="s">
        <v>38</v>
      </c>
      <c r="B16" s="7" t="n">
        <v>4613</v>
      </c>
      <c r="C16" s="7" t="n">
        <v>695</v>
      </c>
      <c r="D16" s="8" t="n">
        <f aca="false">C16/B16</f>
        <v>0.150661174940386</v>
      </c>
      <c r="E16" s="7" t="n">
        <f aca="false">B16-C16</f>
        <v>3918</v>
      </c>
      <c r="F16" s="9" t="s">
        <v>18</v>
      </c>
      <c r="G16" s="9"/>
      <c r="H16" s="10" t="s">
        <v>39</v>
      </c>
    </row>
    <row r="17" customFormat="false" ht="15" hidden="false" customHeight="true" outlineLevel="0" collapsed="false">
      <c r="A17" s="6" t="s">
        <v>40</v>
      </c>
      <c r="B17" s="7" t="n">
        <v>3399</v>
      </c>
      <c r="C17" s="7" t="n">
        <v>386</v>
      </c>
      <c r="D17" s="8" t="n">
        <f aca="false">C17/B17</f>
        <v>0.113562812591939</v>
      </c>
      <c r="E17" s="7" t="n">
        <f aca="false">B17-C17</f>
        <v>3013</v>
      </c>
      <c r="F17" s="9" t="s">
        <v>18</v>
      </c>
      <c r="G17" s="9" t="s">
        <v>41</v>
      </c>
      <c r="H17" s="10" t="s">
        <v>42</v>
      </c>
    </row>
    <row r="18" customFormat="false" ht="15" hidden="false" customHeight="true" outlineLevel="0" collapsed="false">
      <c r="A18" s="6" t="s">
        <v>43</v>
      </c>
      <c r="B18" s="7" t="n">
        <v>2862</v>
      </c>
      <c r="C18" s="7" t="n">
        <v>361</v>
      </c>
      <c r="D18" s="8" t="n">
        <f aca="false">C18/B18</f>
        <v>0.126135569531796</v>
      </c>
      <c r="E18" s="7" t="n">
        <f aca="false">B18-C18</f>
        <v>2501</v>
      </c>
      <c r="F18" s="9" t="s">
        <v>18</v>
      </c>
      <c r="G18" s="9" t="s">
        <v>44</v>
      </c>
      <c r="H18" s="10" t="s">
        <v>45</v>
      </c>
    </row>
    <row r="19" customFormat="false" ht="15" hidden="false" customHeight="true" outlineLevel="0" collapsed="false">
      <c r="A19" s="6" t="s">
        <v>46</v>
      </c>
      <c r="B19" s="7" t="n">
        <v>2671</v>
      </c>
      <c r="C19" s="7" t="n">
        <v>344</v>
      </c>
      <c r="D19" s="8" t="n">
        <f aca="false">C19/B19</f>
        <v>0.128790715087982</v>
      </c>
      <c r="E19" s="7" t="n">
        <f aca="false">B19-C19</f>
        <v>2327</v>
      </c>
      <c r="F19" s="9" t="s">
        <v>18</v>
      </c>
      <c r="G19" s="9"/>
      <c r="H19" s="10" t="s">
        <v>47</v>
      </c>
    </row>
    <row r="20" customFormat="false" ht="15" hidden="false" customHeight="true" outlineLevel="0" collapsed="false">
      <c r="A20" s="6" t="s">
        <v>48</v>
      </c>
      <c r="B20" s="7" t="n">
        <v>2071</v>
      </c>
      <c r="C20" s="7" t="n">
        <v>197</v>
      </c>
      <c r="D20" s="8" t="n">
        <f aca="false">C20/B20</f>
        <v>0.0951231289232255</v>
      </c>
      <c r="E20" s="7" t="n">
        <f aca="false">B20-C20</f>
        <v>1874</v>
      </c>
      <c r="F20" s="9" t="s">
        <v>49</v>
      </c>
      <c r="G20" s="9"/>
      <c r="H20" s="10" t="s">
        <v>50</v>
      </c>
    </row>
    <row r="21" customFormat="false" ht="15" hidden="false" customHeight="true" outlineLevel="0" collapsed="false">
      <c r="A21" s="6" t="s">
        <v>51</v>
      </c>
      <c r="B21" s="7" t="n">
        <v>1849</v>
      </c>
      <c r="C21" s="7" t="n">
        <v>239</v>
      </c>
      <c r="D21" s="8" t="n">
        <f aca="false">C21/B21</f>
        <v>0.129259058950784</v>
      </c>
      <c r="E21" s="7" t="n">
        <f aca="false">B21-C21</f>
        <v>1610</v>
      </c>
      <c r="F21" s="9" t="s">
        <v>49</v>
      </c>
      <c r="G21" s="9"/>
      <c r="H21" s="10" t="s">
        <v>52</v>
      </c>
    </row>
    <row r="22" customFormat="false" ht="15" hidden="false" customHeight="true" outlineLevel="0" collapsed="false">
      <c r="A22" s="6" t="s">
        <v>53</v>
      </c>
      <c r="B22" s="7" t="n">
        <v>1831</v>
      </c>
      <c r="C22" s="7" t="n">
        <v>323</v>
      </c>
      <c r="D22" s="8" t="n">
        <f aca="false">C22/B22</f>
        <v>0.176406335335882</v>
      </c>
      <c r="E22" s="7" t="n">
        <f aca="false">B22-C22</f>
        <v>1508</v>
      </c>
      <c r="F22" s="9" t="s">
        <v>49</v>
      </c>
      <c r="G22" s="9" t="s">
        <v>54</v>
      </c>
      <c r="H22" s="10" t="s">
        <v>55</v>
      </c>
    </row>
    <row r="23" customFormat="false" ht="15" hidden="false" customHeight="true" outlineLevel="0" collapsed="false">
      <c r="A23" s="6" t="s">
        <v>56</v>
      </c>
      <c r="B23" s="7" t="n">
        <v>1776</v>
      </c>
      <c r="C23" s="7" t="n">
        <v>293</v>
      </c>
      <c r="D23" s="8" t="n">
        <f aca="false">C23/B23</f>
        <v>0.164977477477477</v>
      </c>
      <c r="E23" s="7" t="n">
        <f aca="false">B23-C23</f>
        <v>1483</v>
      </c>
      <c r="F23" s="9" t="s">
        <v>49</v>
      </c>
      <c r="G23" s="9"/>
      <c r="H23" s="10" t="s">
        <v>57</v>
      </c>
    </row>
    <row r="24" customFormat="false" ht="15" hidden="false" customHeight="true" outlineLevel="0" collapsed="false">
      <c r="A24" s="6" t="s">
        <v>58</v>
      </c>
      <c r="B24" s="7" t="n">
        <v>1710</v>
      </c>
      <c r="C24" s="7" t="n">
        <v>338</v>
      </c>
      <c r="D24" s="8" t="n">
        <f aca="false">C24/B24</f>
        <v>0.19766081871345</v>
      </c>
      <c r="E24" s="7" t="n">
        <f aca="false">B24-C24</f>
        <v>1372</v>
      </c>
      <c r="F24" s="9" t="s">
        <v>49</v>
      </c>
      <c r="G24" s="9"/>
      <c r="H24" s="10" t="s">
        <v>59</v>
      </c>
    </row>
    <row r="25" customFormat="false" ht="15" hidden="false" customHeight="true" outlineLevel="0" collapsed="false">
      <c r="A25" s="6" t="s">
        <v>60</v>
      </c>
      <c r="B25" s="7" t="n">
        <v>1543</v>
      </c>
      <c r="C25" s="7" t="n">
        <v>1169</v>
      </c>
      <c r="D25" s="8" t="n">
        <f aca="false">C25/B25</f>
        <v>0.757615035644848</v>
      </c>
      <c r="E25" s="7" t="n">
        <f aca="false">B25-C25</f>
        <v>374</v>
      </c>
      <c r="F25" s="9" t="s">
        <v>49</v>
      </c>
      <c r="G25" s="9"/>
      <c r="H25" s="10" t="s">
        <v>61</v>
      </c>
    </row>
    <row r="26" customFormat="false" ht="15" hidden="false" customHeight="true" outlineLevel="0" collapsed="false">
      <c r="A26" s="6" t="s">
        <v>62</v>
      </c>
      <c r="B26" s="7" t="n">
        <v>1538</v>
      </c>
      <c r="C26" s="7" t="n">
        <v>186</v>
      </c>
      <c r="D26" s="8" t="n">
        <f aca="false">C26/B26</f>
        <v>0.120936280884265</v>
      </c>
      <c r="E26" s="7" t="n">
        <f aca="false">B26-C26</f>
        <v>1352</v>
      </c>
      <c r="F26" s="9" t="s">
        <v>49</v>
      </c>
      <c r="G26" s="9"/>
      <c r="H26" s="10" t="s">
        <v>63</v>
      </c>
    </row>
    <row r="27" customFormat="false" ht="15" hidden="false" customHeight="true" outlineLevel="0" collapsed="false">
      <c r="A27" s="6" t="s">
        <v>64</v>
      </c>
      <c r="B27" s="7" t="n">
        <v>1469</v>
      </c>
      <c r="C27" s="7" t="n">
        <v>254</v>
      </c>
      <c r="D27" s="8" t="n">
        <f aca="false">C27/B27</f>
        <v>0.172906739278421</v>
      </c>
      <c r="E27" s="7" t="n">
        <f aca="false">B27-C27</f>
        <v>1215</v>
      </c>
      <c r="F27" s="9" t="s">
        <v>49</v>
      </c>
      <c r="G27" s="9" t="s">
        <v>65</v>
      </c>
      <c r="H27" s="10" t="s">
        <v>66</v>
      </c>
    </row>
    <row r="28" customFormat="false" ht="15" hidden="false" customHeight="true" outlineLevel="0" collapsed="false">
      <c r="A28" s="6" t="s">
        <v>67</v>
      </c>
      <c r="B28" s="7" t="n">
        <v>1258</v>
      </c>
      <c r="C28" s="7" t="n">
        <v>529</v>
      </c>
      <c r="D28" s="8" t="n">
        <f aca="false">C28/B28</f>
        <v>0.420508744038156</v>
      </c>
      <c r="E28" s="7" t="n">
        <f aca="false">B28-C28</f>
        <v>729</v>
      </c>
      <c r="F28" s="9" t="s">
        <v>49</v>
      </c>
      <c r="G28" s="9" t="s">
        <v>68</v>
      </c>
      <c r="H28" s="10" t="s">
        <v>69</v>
      </c>
    </row>
    <row r="29" customFormat="false" ht="15" hidden="false" customHeight="true" outlineLevel="0" collapsed="false">
      <c r="A29" s="6" t="s">
        <v>70</v>
      </c>
      <c r="B29" s="7" t="n">
        <v>1210</v>
      </c>
      <c r="C29" s="7" t="n">
        <v>227</v>
      </c>
      <c r="D29" s="8" t="n">
        <f aca="false">C29/B29</f>
        <v>0.187603305785124</v>
      </c>
      <c r="E29" s="7" t="n">
        <f aca="false">B29-C29</f>
        <v>983</v>
      </c>
      <c r="F29" s="9" t="s">
        <v>49</v>
      </c>
      <c r="G29" s="9"/>
      <c r="H29" s="10" t="s">
        <v>71</v>
      </c>
    </row>
    <row r="30" customFormat="false" ht="15" hidden="false" customHeight="true" outlineLevel="0" collapsed="false">
      <c r="A30" s="6" t="s">
        <v>72</v>
      </c>
      <c r="B30" s="7" t="n">
        <v>1119</v>
      </c>
      <c r="C30" s="7" t="n">
        <v>163</v>
      </c>
      <c r="D30" s="8" t="n">
        <f aca="false">C30/B30</f>
        <v>0.145665773011618</v>
      </c>
      <c r="E30" s="7" t="n">
        <f aca="false">B30-C30</f>
        <v>956</v>
      </c>
      <c r="F30" s="9" t="s">
        <v>49</v>
      </c>
      <c r="G30" s="9"/>
      <c r="H30" s="10" t="s">
        <v>73</v>
      </c>
    </row>
    <row r="31" customFormat="false" ht="15" hidden="false" customHeight="true" outlineLevel="0" collapsed="false">
      <c r="A31" s="6" t="s">
        <v>74</v>
      </c>
      <c r="B31" s="7" t="n">
        <v>1088</v>
      </c>
      <c r="C31" s="7" t="n">
        <v>101</v>
      </c>
      <c r="D31" s="8" t="n">
        <f aca="false">C31/B31</f>
        <v>0.0928308823529412</v>
      </c>
      <c r="E31" s="7" t="n">
        <f aca="false">B31-C31</f>
        <v>987</v>
      </c>
      <c r="F31" s="9" t="s">
        <v>49</v>
      </c>
      <c r="G31" s="9"/>
      <c r="H31" s="10" t="s">
        <v>75</v>
      </c>
    </row>
    <row r="32" customFormat="false" ht="15" hidden="false" customHeight="true" outlineLevel="0" collapsed="false">
      <c r="A32" s="6" t="s">
        <v>76</v>
      </c>
      <c r="B32" s="7" t="n">
        <v>691</v>
      </c>
      <c r="C32" s="7" t="n">
        <v>119</v>
      </c>
      <c r="D32" s="8" t="n">
        <f aca="false">C32/B32</f>
        <v>0.172214182344428</v>
      </c>
      <c r="E32" s="7" t="n">
        <f aca="false">B32-C32</f>
        <v>572</v>
      </c>
      <c r="F32" s="9" t="s">
        <v>49</v>
      </c>
      <c r="G32" s="9"/>
      <c r="H32" s="10" t="s">
        <v>77</v>
      </c>
    </row>
    <row r="33" customFormat="false" ht="15" hidden="false" customHeight="true" outlineLevel="0" collapsed="false">
      <c r="A33" s="6" t="s">
        <v>78</v>
      </c>
      <c r="B33" s="7" t="n">
        <v>650</v>
      </c>
      <c r="C33" s="7" t="n">
        <v>107</v>
      </c>
      <c r="D33" s="8" t="n">
        <f aca="false">C33/B33</f>
        <v>0.164615384615385</v>
      </c>
      <c r="E33" s="7" t="n">
        <f aca="false">B33-C33</f>
        <v>543</v>
      </c>
      <c r="F33" s="9" t="s">
        <v>49</v>
      </c>
      <c r="G33" s="9"/>
      <c r="H33" s="10" t="s">
        <v>79</v>
      </c>
    </row>
    <row r="34" customFormat="false" ht="15" hidden="false" customHeight="true" outlineLevel="0" collapsed="false">
      <c r="A34" s="6" t="s">
        <v>80</v>
      </c>
      <c r="B34" s="7" t="n">
        <v>634</v>
      </c>
      <c r="C34" s="7" t="n">
        <v>173</v>
      </c>
      <c r="D34" s="8" t="n">
        <f aca="false">C34/B34</f>
        <v>0.272870662460568</v>
      </c>
      <c r="E34" s="7" t="n">
        <f aca="false">B34-C34</f>
        <v>461</v>
      </c>
      <c r="F34" s="9" t="s">
        <v>49</v>
      </c>
      <c r="G34" s="9"/>
      <c r="H34" s="10" t="s">
        <v>81</v>
      </c>
    </row>
    <row r="35" customFormat="false" ht="15" hidden="false" customHeight="true" outlineLevel="0" collapsed="false">
      <c r="A35" s="6" t="s">
        <v>82</v>
      </c>
      <c r="B35" s="7" t="n">
        <v>594</v>
      </c>
      <c r="C35" s="7" t="n">
        <v>120</v>
      </c>
      <c r="D35" s="8" t="n">
        <f aca="false">C35/B35</f>
        <v>0.202020202020202</v>
      </c>
      <c r="E35" s="7" t="n">
        <f aca="false">B35-C35</f>
        <v>474</v>
      </c>
      <c r="F35" s="9" t="s">
        <v>49</v>
      </c>
      <c r="G35" s="9"/>
      <c r="H35" s="10" t="s">
        <v>83</v>
      </c>
    </row>
    <row r="36" customFormat="false" ht="15" hidden="false" customHeight="true" outlineLevel="0" collapsed="false">
      <c r="A36" s="6" t="s">
        <v>84</v>
      </c>
      <c r="B36" s="7" t="n">
        <v>603</v>
      </c>
      <c r="C36" s="7" t="n">
        <v>48</v>
      </c>
      <c r="D36" s="8" t="n">
        <f aca="false">C36/B36</f>
        <v>0.0796019900497512</v>
      </c>
      <c r="E36" s="7" t="n">
        <f aca="false">B36-C36</f>
        <v>555</v>
      </c>
      <c r="F36" s="9" t="s">
        <v>49</v>
      </c>
      <c r="G36" s="9"/>
      <c r="H36" s="10" t="s">
        <v>85</v>
      </c>
    </row>
    <row r="37" customFormat="false" ht="15" hidden="false" customHeight="true" outlineLevel="0" collapsed="false">
      <c r="A37" s="6" t="s">
        <v>86</v>
      </c>
      <c r="B37" s="7" t="n">
        <v>686</v>
      </c>
      <c r="C37" s="7" t="n">
        <v>102</v>
      </c>
      <c r="D37" s="8" t="n">
        <f aca="false">C37/B37</f>
        <v>0.14868804664723</v>
      </c>
      <c r="E37" s="7" t="n">
        <f aca="false">B37-C37</f>
        <v>584</v>
      </c>
      <c r="F37" s="9" t="s">
        <v>49</v>
      </c>
      <c r="G37" s="9"/>
      <c r="H37" s="10" t="s">
        <v>87</v>
      </c>
    </row>
    <row r="38" customFormat="false" ht="15" hidden="false" customHeight="true" outlineLevel="0" collapsed="false">
      <c r="A38" s="6" t="s">
        <v>88</v>
      </c>
      <c r="B38" s="7" t="n">
        <v>391</v>
      </c>
      <c r="C38" s="7" t="n">
        <v>57</v>
      </c>
      <c r="D38" s="8" t="n">
        <f aca="false">C38/B38</f>
        <v>0.145780051150895</v>
      </c>
      <c r="E38" s="7" t="n">
        <f aca="false">B38-C38</f>
        <v>334</v>
      </c>
      <c r="F38" s="9" t="s">
        <v>49</v>
      </c>
      <c r="G38" s="9"/>
      <c r="H38" s="10" t="s">
        <v>89</v>
      </c>
    </row>
    <row r="39" customFormat="false" ht="15" hidden="false" customHeight="true" outlineLevel="0" collapsed="false">
      <c r="A39" s="6" t="s">
        <v>90</v>
      </c>
      <c r="B39" s="7" t="n">
        <v>304</v>
      </c>
      <c r="C39" s="7" t="n">
        <v>52</v>
      </c>
      <c r="D39" s="8" t="n">
        <f aca="false">C39/B39</f>
        <v>0.171052631578947</v>
      </c>
      <c r="E39" s="7" t="n">
        <f aca="false">B39-C39</f>
        <v>252</v>
      </c>
      <c r="F39" s="9" t="s">
        <v>49</v>
      </c>
      <c r="G39" s="9"/>
      <c r="H39" s="10" t="s">
        <v>91</v>
      </c>
    </row>
    <row r="40" customFormat="false" ht="15" hidden="false" customHeight="true" outlineLevel="0" collapsed="false">
      <c r="A40" s="6" t="s">
        <v>92</v>
      </c>
      <c r="B40" s="7" t="n">
        <v>1131</v>
      </c>
      <c r="C40" s="7" t="n">
        <v>208</v>
      </c>
      <c r="D40" s="8" t="n">
        <f aca="false">C40/B40</f>
        <v>0.183908045977012</v>
      </c>
      <c r="E40" s="7" t="n">
        <f aca="false">B40-C40</f>
        <v>923</v>
      </c>
      <c r="F40" s="9" t="s">
        <v>49</v>
      </c>
      <c r="G40" s="9" t="s">
        <v>93</v>
      </c>
      <c r="H40" s="10" t="s">
        <v>94</v>
      </c>
    </row>
    <row r="41" customFormat="false" ht="15" hidden="false" customHeight="true" outlineLevel="0" collapsed="false">
      <c r="A41" s="6" t="s">
        <v>95</v>
      </c>
      <c r="B41" s="9" t="n">
        <v>30000</v>
      </c>
      <c r="C41" s="9" t="n">
        <v>18858</v>
      </c>
      <c r="D41" s="8" t="n">
        <f aca="false">C41/B41</f>
        <v>0.6286</v>
      </c>
      <c r="E41" s="9" t="n">
        <f aca="false">B41-C41</f>
        <v>11142</v>
      </c>
      <c r="F41" s="9" t="s">
        <v>11</v>
      </c>
      <c r="G41" s="9" t="s">
        <v>96</v>
      </c>
      <c r="H41" s="10" t="s">
        <v>97</v>
      </c>
    </row>
    <row r="42" customFormat="false" ht="15" hidden="false" customHeight="false" outlineLevel="0" collapsed="false">
      <c r="A42" s="11" t="s">
        <v>98</v>
      </c>
      <c r="B42" s="12" t="n">
        <f aca="false">SUM(B5:B41)</f>
        <v>173737</v>
      </c>
      <c r="C42" s="12" t="n">
        <f aca="false">SUM(C5:C41)</f>
        <v>44099</v>
      </c>
      <c r="D42" s="13"/>
      <c r="E42" s="13"/>
      <c r="F42" s="13"/>
      <c r="G42" s="13"/>
      <c r="H42" s="1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0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9" min="9" style="1" width="80"/>
  </cols>
  <sheetData>
    <row r="1" customFormat="false" ht="17.25" hidden="false" customHeight="true" outlineLevel="0" collapsed="false">
      <c r="A1" s="14" t="s">
        <v>100</v>
      </c>
      <c r="B1" s="14"/>
      <c r="C1" s="14"/>
      <c r="D1" s="14"/>
      <c r="E1" s="14"/>
      <c r="F1" s="14"/>
      <c r="G1" s="14"/>
      <c r="H1" s="14"/>
      <c r="I1" s="14"/>
    </row>
    <row r="2" customFormat="false" ht="15" hidden="false" customHeight="true" outlineLevel="0" collapsed="false">
      <c r="A2" s="15" t="s">
        <v>101</v>
      </c>
      <c r="B2" s="15"/>
      <c r="C2" s="15"/>
      <c r="D2" s="15"/>
      <c r="E2" s="15"/>
      <c r="F2" s="15"/>
      <c r="G2" s="15"/>
      <c r="H2" s="15"/>
      <c r="I2" s="15"/>
    </row>
    <row r="4" customFormat="false" ht="23.25" hidden="false" customHeight="true" outlineLevel="0" collapsed="false">
      <c r="A4" s="16" t="s">
        <v>102</v>
      </c>
      <c r="B4" s="16" t="s">
        <v>103</v>
      </c>
      <c r="C4" s="16" t="s">
        <v>104</v>
      </c>
      <c r="D4" s="16" t="s">
        <v>4</v>
      </c>
      <c r="E4" s="16" t="s">
        <v>105</v>
      </c>
      <c r="F4" s="16" t="s">
        <v>106</v>
      </c>
      <c r="G4" s="16" t="s">
        <v>107</v>
      </c>
      <c r="H4" s="16" t="s">
        <v>108</v>
      </c>
      <c r="I4" s="16" t="s">
        <v>9</v>
      </c>
    </row>
    <row r="5" customFormat="false" ht="15" hidden="false" customHeight="true" outlineLevel="0" collapsed="false">
      <c r="A5" s="17" t="s">
        <v>109</v>
      </c>
      <c r="B5" s="18" t="s">
        <v>110</v>
      </c>
      <c r="C5" s="19" t="n">
        <v>71405</v>
      </c>
      <c r="D5" s="19" t="n">
        <v>26115</v>
      </c>
      <c r="E5" s="20" t="n">
        <f aca="false">D5/C5</f>
        <v>0.365730691128072</v>
      </c>
      <c r="F5" s="19" t="n">
        <v>14000000</v>
      </c>
      <c r="G5" s="20" t="n">
        <f aca="false">F5/F$19</f>
        <v>0.304347826086957</v>
      </c>
      <c r="H5" s="21" t="s">
        <v>111</v>
      </c>
      <c r="I5" s="22" t="s">
        <v>112</v>
      </c>
    </row>
    <row r="6" customFormat="false" ht="15" hidden="false" customHeight="true" outlineLevel="0" collapsed="false">
      <c r="A6" s="17" t="s">
        <v>113</v>
      </c>
      <c r="B6" s="18" t="s">
        <v>114</v>
      </c>
      <c r="C6" s="19" t="n">
        <v>5970</v>
      </c>
      <c r="D6" s="19" t="n">
        <v>1324</v>
      </c>
      <c r="E6" s="20" t="n">
        <f aca="false">D6/C6</f>
        <v>0.22177554438861</v>
      </c>
      <c r="F6" s="19" t="n">
        <v>8700000</v>
      </c>
      <c r="G6" s="20" t="n">
        <f aca="false">F6/F$19</f>
        <v>0.189130434782609</v>
      </c>
      <c r="H6" s="23" t="s">
        <v>115</v>
      </c>
      <c r="I6" s="22" t="s">
        <v>116</v>
      </c>
    </row>
    <row r="7" customFormat="false" ht="15" hidden="false" customHeight="true" outlineLevel="0" collapsed="false">
      <c r="A7" s="17" t="s">
        <v>117</v>
      </c>
      <c r="B7" s="18" t="s">
        <v>118</v>
      </c>
      <c r="C7" s="19" t="n">
        <v>3541</v>
      </c>
      <c r="D7" s="19" t="n">
        <v>597</v>
      </c>
      <c r="E7" s="20" t="n">
        <f aca="false">D7/C7</f>
        <v>0.16859644168314</v>
      </c>
      <c r="F7" s="19" t="n">
        <v>3200000</v>
      </c>
      <c r="G7" s="20" t="n">
        <f aca="false">F7/F$19</f>
        <v>0.0695652173913044</v>
      </c>
      <c r="H7" s="23" t="s">
        <v>115</v>
      </c>
      <c r="I7" s="22" t="s">
        <v>119</v>
      </c>
    </row>
    <row r="8" customFormat="false" ht="15" hidden="false" customHeight="true" outlineLevel="0" collapsed="false">
      <c r="A8" s="17" t="s">
        <v>120</v>
      </c>
      <c r="B8" s="18" t="s">
        <v>121</v>
      </c>
      <c r="C8" s="19" t="n">
        <v>17214</v>
      </c>
      <c r="D8" s="19" t="n">
        <v>2935</v>
      </c>
      <c r="E8" s="20" t="n">
        <f aca="false">D8/C8</f>
        <v>0.170500755199256</v>
      </c>
      <c r="F8" s="19" t="n">
        <v>3100000</v>
      </c>
      <c r="G8" s="20" t="n">
        <f aca="false">F8/F$19</f>
        <v>0.0673913043478261</v>
      </c>
      <c r="H8" s="21" t="s">
        <v>111</v>
      </c>
      <c r="I8" s="22" t="s">
        <v>122</v>
      </c>
    </row>
    <row r="9" customFormat="false" ht="15" hidden="false" customHeight="true" outlineLevel="0" collapsed="false">
      <c r="A9" s="17" t="s">
        <v>123</v>
      </c>
      <c r="B9" s="18" t="s">
        <v>124</v>
      </c>
      <c r="C9" s="19" t="n">
        <v>8049</v>
      </c>
      <c r="D9" s="19" t="n">
        <v>1099</v>
      </c>
      <c r="E9" s="20" t="n">
        <f aca="false">D9/C9</f>
        <v>0.136538700459684</v>
      </c>
      <c r="F9" s="19" t="n">
        <v>3100000</v>
      </c>
      <c r="G9" s="20" t="n">
        <f aca="false">F9/F$19</f>
        <v>0.0673913043478261</v>
      </c>
      <c r="H9" s="23" t="s">
        <v>115</v>
      </c>
      <c r="I9" s="22" t="s">
        <v>22</v>
      </c>
    </row>
    <row r="10" customFormat="false" ht="15" hidden="false" customHeight="true" outlineLevel="0" collapsed="false">
      <c r="A10" s="17" t="s">
        <v>125</v>
      </c>
      <c r="B10" s="18" t="s">
        <v>126</v>
      </c>
      <c r="C10" s="19" t="n">
        <v>4825</v>
      </c>
      <c r="D10" s="19" t="n">
        <v>1320</v>
      </c>
      <c r="E10" s="20" t="n">
        <f aca="false">D10/C10</f>
        <v>0.273575129533679</v>
      </c>
      <c r="F10" s="19" t="n">
        <v>2800000</v>
      </c>
      <c r="G10" s="20" t="n">
        <f aca="false">F10/F$19</f>
        <v>0.0608695652173913</v>
      </c>
      <c r="H10" s="24" t="s">
        <v>127</v>
      </c>
      <c r="I10" s="22" t="s">
        <v>32</v>
      </c>
    </row>
    <row r="11" customFormat="false" ht="15" hidden="false" customHeight="true" outlineLevel="0" collapsed="false">
      <c r="A11" s="17" t="s">
        <v>128</v>
      </c>
      <c r="B11" s="18" t="s">
        <v>129</v>
      </c>
      <c r="C11" s="19" t="n">
        <v>1119</v>
      </c>
      <c r="D11" s="19" t="n">
        <v>163</v>
      </c>
      <c r="E11" s="20" t="n">
        <f aca="false">D11/C11</f>
        <v>0.145665773011618</v>
      </c>
      <c r="F11" s="19" t="n">
        <v>2600000</v>
      </c>
      <c r="G11" s="20" t="n">
        <f aca="false">F11/F$19</f>
        <v>0.0565217391304348</v>
      </c>
      <c r="H11" s="21" t="s">
        <v>111</v>
      </c>
      <c r="I11" s="22" t="s">
        <v>73</v>
      </c>
    </row>
    <row r="12" customFormat="false" ht="15" hidden="false" customHeight="true" outlineLevel="0" collapsed="false">
      <c r="A12" s="17" t="s">
        <v>130</v>
      </c>
      <c r="B12" s="18" t="s">
        <v>131</v>
      </c>
      <c r="C12" s="19" t="n">
        <v>1131</v>
      </c>
      <c r="D12" s="19" t="n">
        <v>208</v>
      </c>
      <c r="E12" s="20" t="n">
        <f aca="false">D12/C12</f>
        <v>0.183908045977012</v>
      </c>
      <c r="F12" s="19" t="n">
        <v>2100000</v>
      </c>
      <c r="G12" s="20" t="n">
        <f aca="false">F12/F$19</f>
        <v>0.0456521739130435</v>
      </c>
      <c r="H12" s="25" t="s">
        <v>132</v>
      </c>
      <c r="I12" s="22" t="s">
        <v>94</v>
      </c>
    </row>
    <row r="13" customFormat="false" ht="15" hidden="false" customHeight="true" outlineLevel="0" collapsed="false">
      <c r="A13" s="17" t="s">
        <v>133</v>
      </c>
      <c r="B13" s="18" t="s">
        <v>134</v>
      </c>
      <c r="C13" s="19" t="n">
        <v>4400</v>
      </c>
      <c r="D13" s="19" t="n">
        <v>516</v>
      </c>
      <c r="E13" s="20" t="n">
        <f aca="false">D13/C13</f>
        <v>0.117272727272727</v>
      </c>
      <c r="F13" s="19" t="n">
        <v>1800000</v>
      </c>
      <c r="G13" s="20" t="n">
        <f aca="false">F13/F$19</f>
        <v>0.0391304347826087</v>
      </c>
      <c r="H13" s="25" t="s">
        <v>132</v>
      </c>
      <c r="I13" s="22" t="s">
        <v>135</v>
      </c>
    </row>
    <row r="14" customFormat="false" ht="15" hidden="false" customHeight="true" outlineLevel="0" collapsed="false">
      <c r="A14" s="17" t="s">
        <v>136</v>
      </c>
      <c r="B14" s="18" t="s">
        <v>137</v>
      </c>
      <c r="C14" s="19" t="n">
        <v>5314</v>
      </c>
      <c r="D14" s="19" t="n">
        <v>999</v>
      </c>
      <c r="E14" s="20" t="n">
        <f aca="false">D14/C14</f>
        <v>0.187993978170869</v>
      </c>
      <c r="F14" s="19" t="n">
        <v>1700000</v>
      </c>
      <c r="G14" s="20" t="n">
        <f aca="false">F14/F$19</f>
        <v>0.0369565217391304</v>
      </c>
      <c r="H14" s="26" t="s">
        <v>138</v>
      </c>
      <c r="I14" s="22" t="s">
        <v>139</v>
      </c>
    </row>
    <row r="15" customFormat="false" ht="15" hidden="false" customHeight="true" outlineLevel="0" collapsed="false">
      <c r="A15" s="17" t="s">
        <v>140</v>
      </c>
      <c r="B15" s="18" t="s">
        <v>141</v>
      </c>
      <c r="C15" s="19" t="n">
        <v>2671</v>
      </c>
      <c r="D15" s="19" t="n">
        <v>344</v>
      </c>
      <c r="E15" s="20" t="n">
        <f aca="false">D15/C15</f>
        <v>0.128790715087982</v>
      </c>
      <c r="F15" s="19" t="n">
        <v>1100000</v>
      </c>
      <c r="G15" s="20" t="n">
        <f aca="false">F15/F$19</f>
        <v>0.0239130434782609</v>
      </c>
      <c r="H15" s="24" t="s">
        <v>142</v>
      </c>
      <c r="I15" s="22" t="s">
        <v>47</v>
      </c>
    </row>
    <row r="16" customFormat="false" ht="15" hidden="false" customHeight="true" outlineLevel="0" collapsed="false">
      <c r="A16" s="17" t="s">
        <v>143</v>
      </c>
      <c r="B16" s="18" t="s">
        <v>144</v>
      </c>
      <c r="C16" s="19" t="n">
        <v>1258</v>
      </c>
      <c r="D16" s="19" t="n">
        <v>529</v>
      </c>
      <c r="E16" s="20" t="n">
        <f aca="false">D16/C16</f>
        <v>0.420508744038156</v>
      </c>
      <c r="F16" s="19" t="n">
        <v>900000</v>
      </c>
      <c r="G16" s="20" t="n">
        <f aca="false">F16/F$19</f>
        <v>0.0195652173913044</v>
      </c>
      <c r="H16" s="24" t="s">
        <v>127</v>
      </c>
      <c r="I16" s="22" t="s">
        <v>69</v>
      </c>
    </row>
    <row r="17" customFormat="false" ht="15" hidden="false" customHeight="true" outlineLevel="0" collapsed="false">
      <c r="A17" s="17" t="s">
        <v>145</v>
      </c>
      <c r="B17" s="18" t="s">
        <v>146</v>
      </c>
      <c r="C17" s="19" t="n">
        <v>6569</v>
      </c>
      <c r="D17" s="19" t="n">
        <v>842</v>
      </c>
      <c r="E17" s="20" t="n">
        <f aca="false">D17/C17</f>
        <v>0.128177804840919</v>
      </c>
      <c r="F17" s="19" t="n">
        <v>500000</v>
      </c>
      <c r="G17" s="20" t="n">
        <f aca="false">F17/F$19</f>
        <v>0.0108695652173913</v>
      </c>
      <c r="H17" s="24" t="s">
        <v>142</v>
      </c>
      <c r="I17" s="22" t="s">
        <v>147</v>
      </c>
    </row>
    <row r="18" customFormat="false" ht="15" hidden="false" customHeight="true" outlineLevel="0" collapsed="false">
      <c r="A18" s="17" t="s">
        <v>148</v>
      </c>
      <c r="B18" s="18" t="s">
        <v>149</v>
      </c>
      <c r="C18" s="19" t="n">
        <v>3012</v>
      </c>
      <c r="D18" s="19" t="n">
        <v>1422</v>
      </c>
      <c r="E18" s="20" t="n">
        <f aca="false">D18/C18</f>
        <v>0.472111553784861</v>
      </c>
      <c r="F18" s="19" t="n">
        <v>400000</v>
      </c>
      <c r="G18" s="20" t="n">
        <f aca="false">F18/F$19</f>
        <v>0.00869565217391304</v>
      </c>
      <c r="H18" s="24" t="s">
        <v>142</v>
      </c>
      <c r="I18" s="22" t="s">
        <v>150</v>
      </c>
    </row>
    <row r="19" customFormat="false" ht="15" hidden="false" customHeight="true" outlineLevel="0" collapsed="false">
      <c r="A19" s="27" t="s">
        <v>151</v>
      </c>
      <c r="C19" s="28" t="n">
        <f aca="false">SUM(C5:C18)</f>
        <v>136478</v>
      </c>
      <c r="F19" s="28" t="n">
        <f aca="false">SUM(F5:F18)</f>
        <v>46000000</v>
      </c>
      <c r="I19" s="29" t="s">
        <v>152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80"/>
  </cols>
  <sheetData>
    <row r="1" customFormat="false" ht="17.25" hidden="false" customHeight="true" outlineLevel="0" collapsed="false">
      <c r="A1" s="2" t="s">
        <v>153</v>
      </c>
    </row>
    <row r="2" customFormat="false" ht="15" hidden="false" customHeight="true" outlineLevel="0" collapsed="false">
      <c r="A2" s="3" t="s">
        <v>154</v>
      </c>
    </row>
    <row r="4" customFormat="false" ht="15" hidden="false" customHeight="true" outlineLevel="0" collapsed="false">
      <c r="A4" s="4" t="s">
        <v>155</v>
      </c>
      <c r="B4" s="4" t="s">
        <v>156</v>
      </c>
      <c r="C4" s="4" t="s">
        <v>157</v>
      </c>
      <c r="D4" s="4" t="s">
        <v>158</v>
      </c>
      <c r="E4" s="5" t="s">
        <v>9</v>
      </c>
    </row>
    <row r="5" customFormat="false" ht="15" hidden="false" customHeight="true" outlineLevel="0" collapsed="false">
      <c r="A5" s="6" t="s">
        <v>159</v>
      </c>
      <c r="B5" s="7" t="n">
        <v>44085</v>
      </c>
      <c r="C5" s="8" t="n">
        <f aca="false">B5/B21</f>
        <v>0.596920952148834</v>
      </c>
      <c r="D5" s="30" t="s">
        <v>160</v>
      </c>
      <c r="E5" s="10" t="s">
        <v>161</v>
      </c>
    </row>
    <row r="6" customFormat="false" ht="15" hidden="false" customHeight="true" outlineLevel="0" collapsed="false">
      <c r="A6" s="6" t="s">
        <v>162</v>
      </c>
      <c r="B6" s="7" t="n">
        <v>20084</v>
      </c>
      <c r="C6" s="8" t="n">
        <f aca="false">B6/B21</f>
        <v>0.271941939502261</v>
      </c>
      <c r="D6" s="31" t="s">
        <v>163</v>
      </c>
      <c r="E6" s="10" t="s">
        <v>161</v>
      </c>
    </row>
    <row r="7" customFormat="false" ht="15" hidden="false" customHeight="true" outlineLevel="0" collapsed="false">
      <c r="A7" s="6" t="s">
        <v>164</v>
      </c>
      <c r="B7" s="7" t="n">
        <v>3058</v>
      </c>
      <c r="C7" s="8" t="n">
        <f aca="false">B7/B21</f>
        <v>0.041406017277331</v>
      </c>
      <c r="D7" s="31" t="s">
        <v>163</v>
      </c>
      <c r="E7" s="10" t="s">
        <v>161</v>
      </c>
    </row>
    <row r="8" customFormat="false" ht="15" hidden="false" customHeight="true" outlineLevel="0" collapsed="false">
      <c r="A8" s="6" t="s">
        <v>165</v>
      </c>
      <c r="B8" s="7" t="n">
        <v>2168</v>
      </c>
      <c r="C8" s="8" t="n">
        <f aca="false">B8/B21</f>
        <v>0.0293552143418095</v>
      </c>
      <c r="D8" s="31" t="s">
        <v>163</v>
      </c>
      <c r="E8" s="10" t="s">
        <v>161</v>
      </c>
    </row>
    <row r="9" customFormat="false" ht="15" hidden="false" customHeight="true" outlineLevel="0" collapsed="false">
      <c r="A9" s="6" t="s">
        <v>166</v>
      </c>
      <c r="B9" s="7" t="n">
        <v>1609</v>
      </c>
      <c r="C9" s="8" t="n">
        <f aca="false">B9/B21</f>
        <v>0.0217862268800607</v>
      </c>
      <c r="D9" s="31" t="s">
        <v>163</v>
      </c>
      <c r="E9" s="10" t="s">
        <v>161</v>
      </c>
    </row>
    <row r="10" customFormat="false" ht="15" hidden="false" customHeight="true" outlineLevel="0" collapsed="false">
      <c r="A10" s="6" t="s">
        <v>167</v>
      </c>
      <c r="B10" s="7" t="n">
        <v>505</v>
      </c>
      <c r="C10" s="8" t="n">
        <f aca="false">B10/B21</f>
        <v>0.00683781514880711</v>
      </c>
      <c r="D10" s="31" t="s">
        <v>163</v>
      </c>
      <c r="E10" s="10" t="s">
        <v>161</v>
      </c>
    </row>
    <row r="11" customFormat="false" ht="15" hidden="false" customHeight="true" outlineLevel="0" collapsed="false">
      <c r="A11" s="6" t="s">
        <v>168</v>
      </c>
      <c r="B11" s="7" t="n">
        <v>383</v>
      </c>
      <c r="C11" s="8" t="n">
        <f aca="false">B11/B21</f>
        <v>0.00518590733067945</v>
      </c>
      <c r="D11" s="31" t="s">
        <v>163</v>
      </c>
      <c r="E11" s="10" t="s">
        <v>161</v>
      </c>
    </row>
    <row r="12" customFormat="false" ht="15" hidden="false" customHeight="true" outlineLevel="0" collapsed="false">
      <c r="A12" s="6" t="s">
        <v>169</v>
      </c>
      <c r="B12" s="7" t="n">
        <v>364</v>
      </c>
      <c r="C12" s="8" t="n">
        <f aca="false">B12/B21</f>
        <v>0.00492864299834809</v>
      </c>
      <c r="D12" s="31" t="s">
        <v>163</v>
      </c>
      <c r="E12" s="10" t="s">
        <v>161</v>
      </c>
    </row>
    <row r="13" customFormat="false" ht="15" hidden="false" customHeight="true" outlineLevel="0" collapsed="false">
      <c r="A13" s="6" t="s">
        <v>170</v>
      </c>
      <c r="B13" s="7" t="n">
        <v>325</v>
      </c>
      <c r="C13" s="8" t="n">
        <f aca="false">B13/B21</f>
        <v>0.00440057410566794</v>
      </c>
      <c r="D13" s="31" t="s">
        <v>163</v>
      </c>
      <c r="E13" s="10" t="s">
        <v>161</v>
      </c>
    </row>
    <row r="14" customFormat="false" ht="15" hidden="false" customHeight="true" outlineLevel="0" collapsed="false">
      <c r="A14" s="6" t="s">
        <v>171</v>
      </c>
      <c r="B14" s="7" t="n">
        <v>294</v>
      </c>
      <c r="C14" s="8" t="n">
        <f aca="false">B14/B21</f>
        <v>0.00398082703712731</v>
      </c>
      <c r="D14" s="31" t="s">
        <v>163</v>
      </c>
      <c r="E14" s="10" t="s">
        <v>161</v>
      </c>
    </row>
    <row r="15" customFormat="false" ht="15" hidden="false" customHeight="true" outlineLevel="0" collapsed="false">
      <c r="A15" s="6" t="s">
        <v>172</v>
      </c>
      <c r="B15" s="7" t="n">
        <v>252</v>
      </c>
      <c r="C15" s="8" t="n">
        <f aca="false">B15/B21</f>
        <v>0.00341213746039483</v>
      </c>
      <c r="D15" s="31" t="s">
        <v>163</v>
      </c>
      <c r="E15" s="10" t="s">
        <v>161</v>
      </c>
    </row>
    <row r="16" customFormat="false" ht="15" hidden="false" customHeight="true" outlineLevel="0" collapsed="false">
      <c r="A16" s="6" t="s">
        <v>173</v>
      </c>
      <c r="B16" s="7" t="n">
        <v>179</v>
      </c>
      <c r="C16" s="8" t="n">
        <f aca="false">B16/B21</f>
        <v>0.00242370081512173</v>
      </c>
      <c r="D16" s="31" t="s">
        <v>163</v>
      </c>
      <c r="E16" s="10" t="s">
        <v>161</v>
      </c>
    </row>
    <row r="17" customFormat="false" ht="15" hidden="false" customHeight="true" outlineLevel="0" collapsed="false">
      <c r="A17" s="6" t="s">
        <v>174</v>
      </c>
      <c r="B17" s="7" t="n">
        <v>172</v>
      </c>
      <c r="C17" s="8" t="n">
        <f aca="false">B17/B21</f>
        <v>0.00232891921899965</v>
      </c>
      <c r="D17" s="31" t="s">
        <v>163</v>
      </c>
      <c r="E17" s="10" t="s">
        <v>161</v>
      </c>
    </row>
    <row r="18" customFormat="false" ht="15" hidden="false" customHeight="true" outlineLevel="0" collapsed="false">
      <c r="A18" s="6" t="s">
        <v>175</v>
      </c>
      <c r="B18" s="7" t="n">
        <v>152</v>
      </c>
      <c r="C18" s="8" t="n">
        <f aca="false">B18/B21</f>
        <v>0.00205811465865085</v>
      </c>
      <c r="D18" s="31" t="s">
        <v>163</v>
      </c>
      <c r="E18" s="10" t="s">
        <v>161</v>
      </c>
    </row>
    <row r="19" customFormat="false" ht="15" hidden="false" customHeight="true" outlineLevel="0" collapsed="false">
      <c r="A19" s="6" t="s">
        <v>176</v>
      </c>
      <c r="B19" s="7" t="n">
        <v>69</v>
      </c>
      <c r="C19" s="8" t="n">
        <f aca="false">B19/B21</f>
        <v>0.000934275733203347</v>
      </c>
      <c r="D19" s="31" t="s">
        <v>163</v>
      </c>
      <c r="E19" s="10" t="s">
        <v>161</v>
      </c>
    </row>
    <row r="20" customFormat="false" ht="15" hidden="false" customHeight="true" outlineLevel="0" collapsed="false">
      <c r="A20" s="6" t="s">
        <v>177</v>
      </c>
      <c r="B20" s="7" t="n">
        <v>155</v>
      </c>
      <c r="C20" s="8" t="n">
        <f aca="false">B20/B21</f>
        <v>0.00209873534270317</v>
      </c>
      <c r="D20" s="31" t="s">
        <v>163</v>
      </c>
      <c r="E20" s="10" t="s">
        <v>161</v>
      </c>
    </row>
    <row r="21" customFormat="false" ht="15" hidden="false" customHeight="true" outlineLevel="0" collapsed="false">
      <c r="A21" s="32" t="s">
        <v>151</v>
      </c>
      <c r="B21" s="12" t="n">
        <f aca="false">SUM(B5:B20)</f>
        <v>73854</v>
      </c>
      <c r="C21" s="33" t="n">
        <v>1</v>
      </c>
      <c r="D21" s="13"/>
      <c r="E21" s="34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4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38"/>
    <col collapsed="false" customWidth="true" hidden="false" outlineLevel="0" max="7" min="7" style="1" width="80"/>
  </cols>
  <sheetData>
    <row r="1" customFormat="false" ht="17.25" hidden="false" customHeight="true" outlineLevel="0" collapsed="false">
      <c r="A1" s="2" t="s">
        <v>179</v>
      </c>
    </row>
    <row r="2" customFormat="false" ht="15" hidden="false" customHeight="true" outlineLevel="0" collapsed="false">
      <c r="A2" s="3" t="s">
        <v>180</v>
      </c>
    </row>
    <row r="4" customFormat="false" ht="15" hidden="false" customHeight="true" outlineLevel="0" collapsed="false">
      <c r="A4" s="4" t="s">
        <v>181</v>
      </c>
      <c r="B4" s="4" t="s">
        <v>182</v>
      </c>
      <c r="C4" s="4" t="s">
        <v>183</v>
      </c>
      <c r="D4" s="4" t="s">
        <v>184</v>
      </c>
      <c r="E4" s="4" t="s">
        <v>185</v>
      </c>
      <c r="F4" s="4" t="s">
        <v>8</v>
      </c>
      <c r="G4" s="5" t="s">
        <v>9</v>
      </c>
    </row>
    <row r="5" customFormat="false" ht="15" hidden="false" customHeight="true" outlineLevel="0" collapsed="false">
      <c r="A5" s="6" t="s">
        <v>186</v>
      </c>
      <c r="B5" s="7" t="n">
        <v>18858</v>
      </c>
      <c r="C5" s="8" t="n">
        <f aca="false">B5/44085</f>
        <v>0.427764545763865</v>
      </c>
      <c r="D5" s="9" t="s">
        <v>187</v>
      </c>
      <c r="E5" s="9" t="s">
        <v>188</v>
      </c>
      <c r="F5" s="9" t="s">
        <v>189</v>
      </c>
      <c r="G5" s="10" t="s">
        <v>190</v>
      </c>
    </row>
    <row r="6" customFormat="false" ht="15" hidden="false" customHeight="true" outlineLevel="0" collapsed="false">
      <c r="A6" s="6" t="s">
        <v>191</v>
      </c>
      <c r="B6" s="7" t="n">
        <v>11282</v>
      </c>
      <c r="C6" s="8" t="n">
        <f aca="false">B6/44085</f>
        <v>0.255914710218895</v>
      </c>
      <c r="D6" s="9" t="s">
        <v>192</v>
      </c>
      <c r="E6" s="9" t="s">
        <v>193</v>
      </c>
      <c r="F6" s="9" t="s">
        <v>194</v>
      </c>
      <c r="G6" s="10" t="s">
        <v>190</v>
      </c>
    </row>
    <row r="7" customFormat="false" ht="15" hidden="false" customHeight="true" outlineLevel="0" collapsed="false">
      <c r="A7" s="6" t="s">
        <v>195</v>
      </c>
      <c r="B7" s="7" t="n">
        <v>8832</v>
      </c>
      <c r="C7" s="8" t="n">
        <f aca="false">B7/44085</f>
        <v>0.200340251786322</v>
      </c>
      <c r="D7" s="9" t="s">
        <v>196</v>
      </c>
      <c r="E7" s="9" t="s">
        <v>197</v>
      </c>
      <c r="F7" s="9" t="s">
        <v>198</v>
      </c>
      <c r="G7" s="10" t="s">
        <v>190</v>
      </c>
    </row>
    <row r="8" customFormat="false" ht="15" hidden="false" customHeight="true" outlineLevel="0" collapsed="false">
      <c r="A8" s="6" t="s">
        <v>199</v>
      </c>
      <c r="B8" s="7" t="n">
        <v>4655</v>
      </c>
      <c r="C8" s="8" t="n">
        <f aca="false">B8/44085</f>
        <v>0.10559147102189</v>
      </c>
      <c r="D8" s="9" t="s">
        <v>200</v>
      </c>
      <c r="E8" s="9" t="s">
        <v>201</v>
      </c>
      <c r="F8" s="9" t="s">
        <v>202</v>
      </c>
      <c r="G8" s="10" t="s">
        <v>190</v>
      </c>
    </row>
    <row r="9" customFormat="false" ht="15" hidden="false" customHeight="true" outlineLevel="0" collapsed="false">
      <c r="A9" s="6" t="s">
        <v>203</v>
      </c>
      <c r="B9" s="7" t="n">
        <v>458</v>
      </c>
      <c r="C9" s="8" t="n">
        <f aca="false">B9/44085</f>
        <v>0.010389021209028</v>
      </c>
      <c r="D9" s="9" t="s">
        <v>204</v>
      </c>
      <c r="E9" s="9" t="s">
        <v>205</v>
      </c>
      <c r="F9" s="9" t="s">
        <v>206</v>
      </c>
      <c r="G9" s="10" t="s">
        <v>190</v>
      </c>
    </row>
    <row r="10" customFormat="false" ht="15" hidden="false" customHeight="true" outlineLevel="0" collapsed="false">
      <c r="A10" s="32" t="s">
        <v>151</v>
      </c>
      <c r="B10" s="12" t="n">
        <f aca="false">SUM(B5:B9)</f>
        <v>44085</v>
      </c>
      <c r="C10" s="13"/>
      <c r="D10" s="13"/>
      <c r="E10" s="13"/>
      <c r="F10" s="13"/>
      <c r="G10" s="34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44"/>
    <col collapsed="false" customWidth="true" hidden="false" outlineLevel="0" max="5" min="5" style="1" width="80"/>
  </cols>
  <sheetData>
    <row r="1" customFormat="false" ht="17.25" hidden="false" customHeight="true" outlineLevel="0" collapsed="false">
      <c r="A1" s="2" t="s">
        <v>207</v>
      </c>
    </row>
    <row r="2" customFormat="false" ht="15" hidden="false" customHeight="true" outlineLevel="0" collapsed="false">
      <c r="A2" s="3" t="s">
        <v>208</v>
      </c>
    </row>
    <row r="4" customFormat="false" ht="15" hidden="false" customHeight="true" outlineLevel="0" collapsed="false">
      <c r="A4" s="4" t="s">
        <v>209</v>
      </c>
      <c r="B4" s="4" t="s">
        <v>210</v>
      </c>
      <c r="C4" s="4" t="s">
        <v>211</v>
      </c>
      <c r="D4" s="4" t="s">
        <v>212</v>
      </c>
      <c r="E4" s="5" t="s">
        <v>9</v>
      </c>
    </row>
    <row r="5" customFormat="false" ht="15" hidden="false" customHeight="true" outlineLevel="0" collapsed="false">
      <c r="A5" s="6" t="s">
        <v>213</v>
      </c>
      <c r="B5" s="7" t="n">
        <v>164892</v>
      </c>
      <c r="C5" s="9" t="s">
        <v>214</v>
      </c>
      <c r="D5" s="9" t="s">
        <v>215</v>
      </c>
      <c r="E5" s="10" t="s">
        <v>216</v>
      </c>
    </row>
    <row r="6" customFormat="false" ht="15" hidden="false" customHeight="true" outlineLevel="0" collapsed="false">
      <c r="A6" s="6" t="s">
        <v>217</v>
      </c>
      <c r="B6" s="7" t="n">
        <v>6016</v>
      </c>
      <c r="C6" s="9" t="s">
        <v>218</v>
      </c>
      <c r="D6" s="9" t="s">
        <v>219</v>
      </c>
      <c r="E6" s="10" t="s">
        <v>216</v>
      </c>
    </row>
    <row r="7" customFormat="false" ht="15" hidden="false" customHeight="true" outlineLevel="0" collapsed="false">
      <c r="A7" s="6" t="s">
        <v>220</v>
      </c>
      <c r="B7" s="7" t="n">
        <v>5600</v>
      </c>
      <c r="C7" s="9" t="s">
        <v>218</v>
      </c>
      <c r="D7" s="9" t="s">
        <v>221</v>
      </c>
      <c r="E7" s="10" t="s">
        <v>222</v>
      </c>
    </row>
    <row r="8" customFormat="false" ht="15" hidden="false" customHeight="true" outlineLevel="0" collapsed="false">
      <c r="A8" s="6" t="s">
        <v>223</v>
      </c>
      <c r="B8" s="7" t="n">
        <v>24595</v>
      </c>
      <c r="C8" s="9" t="s">
        <v>218</v>
      </c>
      <c r="D8" s="9" t="s">
        <v>224</v>
      </c>
      <c r="E8" s="10" t="s">
        <v>216</v>
      </c>
    </row>
    <row r="9" customFormat="false" ht="15" hidden="false" customHeight="true" outlineLevel="0" collapsed="false">
      <c r="A9" s="35" t="s">
        <v>225</v>
      </c>
      <c r="B9" s="36" t="n">
        <f aca="false">B5-B6-B7-B8</f>
        <v>128681</v>
      </c>
      <c r="C9" s="13" t="s">
        <v>226</v>
      </c>
      <c r="D9" s="13" t="s">
        <v>227</v>
      </c>
      <c r="E9" s="34" t="s">
        <v>228</v>
      </c>
    </row>
    <row r="11" customFormat="false" ht="17.25" hidden="false" customHeight="true" outlineLevel="0" collapsed="false">
      <c r="A11" s="37" t="s">
        <v>229</v>
      </c>
      <c r="B11" s="38" t="n">
        <f aca="false">44085/B9</f>
        <v>0.342591369355227</v>
      </c>
      <c r="C11" s="1" t="s">
        <v>230</v>
      </c>
      <c r="E11" s="34" t="s">
        <v>231</v>
      </c>
    </row>
    <row r="12" customFormat="false" ht="15" hidden="false" customHeight="true" outlineLevel="0" collapsed="false">
      <c r="A12" s="3" t="s">
        <v>232</v>
      </c>
      <c r="B12" s="39" t="n">
        <f aca="false">43610/B9</f>
        <v>0.338900070717511</v>
      </c>
      <c r="C12" s="1" t="s">
        <v>233</v>
      </c>
      <c r="E12" s="34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80"/>
  </cols>
  <sheetData>
    <row r="1" customFormat="false" ht="17.25" hidden="false" customHeight="true" outlineLevel="0" collapsed="false">
      <c r="A1" s="2" t="s">
        <v>235</v>
      </c>
    </row>
    <row r="2" customFormat="false" ht="15" hidden="false" customHeight="true" outlineLevel="0" collapsed="false">
      <c r="A2" s="3" t="s">
        <v>236</v>
      </c>
    </row>
    <row r="4" customFormat="false" ht="15" hidden="false" customHeight="true" outlineLevel="0" collapsed="false">
      <c r="A4" s="4" t="s">
        <v>237</v>
      </c>
      <c r="B4" s="4" t="s">
        <v>4</v>
      </c>
      <c r="C4" s="4" t="s">
        <v>3</v>
      </c>
      <c r="D4" s="4" t="s">
        <v>238</v>
      </c>
      <c r="E4" s="4" t="s">
        <v>239</v>
      </c>
      <c r="F4" s="5" t="s">
        <v>9</v>
      </c>
    </row>
    <row r="5" customFormat="false" ht="15" hidden="false" customHeight="true" outlineLevel="0" collapsed="false">
      <c r="A5" s="6" t="s">
        <v>240</v>
      </c>
      <c r="B5" s="7" t="n">
        <v>1897</v>
      </c>
      <c r="C5" s="7" t="n">
        <v>176</v>
      </c>
      <c r="D5" s="8" t="n">
        <f aca="false">B5/C5</f>
        <v>10.7784090909091</v>
      </c>
      <c r="E5" s="8" t="n">
        <f aca="false">B5/B17</f>
        <v>0.0430305092435069</v>
      </c>
      <c r="F5" s="10" t="s">
        <v>241</v>
      </c>
    </row>
    <row r="6" customFormat="false" ht="15" hidden="false" customHeight="true" outlineLevel="0" collapsed="false">
      <c r="A6" s="6" t="s">
        <v>242</v>
      </c>
      <c r="B6" s="7" t="n">
        <v>19471</v>
      </c>
      <c r="C6" s="7" t="n">
        <v>20346</v>
      </c>
      <c r="D6" s="8" t="n">
        <f aca="false">B6/C6</f>
        <v>0.956994003735378</v>
      </c>
      <c r="E6" s="8" t="n">
        <f aca="false">B6/B17</f>
        <v>0.441669502098219</v>
      </c>
      <c r="F6" s="10" t="s">
        <v>241</v>
      </c>
    </row>
    <row r="7" customFormat="false" ht="15" hidden="false" customHeight="true" outlineLevel="0" collapsed="false">
      <c r="A7" s="6" t="s">
        <v>243</v>
      </c>
      <c r="B7" s="7" t="n">
        <v>9928</v>
      </c>
      <c r="C7" s="7" t="n">
        <v>19834</v>
      </c>
      <c r="D7" s="8" t="n">
        <f aca="false">B7/C7</f>
        <v>0.500554603206615</v>
      </c>
      <c r="E7" s="8" t="n">
        <f aca="false">B7/B17</f>
        <v>0.22520131564024</v>
      </c>
      <c r="F7" s="10" t="s">
        <v>241</v>
      </c>
    </row>
    <row r="8" customFormat="false" ht="15" hidden="false" customHeight="true" outlineLevel="0" collapsed="false">
      <c r="A8" s="6" t="s">
        <v>244</v>
      </c>
      <c r="B8" s="7" t="n">
        <v>3935</v>
      </c>
      <c r="C8" s="7" t="n">
        <v>17008</v>
      </c>
      <c r="D8" s="8" t="n">
        <f aca="false">B8/C8</f>
        <v>0.231361712135466</v>
      </c>
      <c r="E8" s="8" t="n">
        <f aca="false">B8/B17</f>
        <v>0.0892593852784394</v>
      </c>
      <c r="F8" s="10" t="s">
        <v>241</v>
      </c>
    </row>
    <row r="9" customFormat="false" ht="15" hidden="false" customHeight="true" outlineLevel="0" collapsed="false">
      <c r="A9" s="6" t="s">
        <v>245</v>
      </c>
      <c r="B9" s="7" t="n">
        <v>1879</v>
      </c>
      <c r="C9" s="7" t="n">
        <v>12787</v>
      </c>
      <c r="D9" s="8" t="n">
        <f aca="false">B9/C9</f>
        <v>0.146946117150231</v>
      </c>
      <c r="E9" s="8" t="n">
        <f aca="false">B9/B17</f>
        <v>0.0426222070999206</v>
      </c>
      <c r="F9" s="10" t="s">
        <v>241</v>
      </c>
    </row>
    <row r="10" customFormat="false" ht="15" hidden="false" customHeight="true" outlineLevel="0" collapsed="false">
      <c r="A10" s="6" t="s">
        <v>246</v>
      </c>
      <c r="B10" s="7" t="n">
        <v>1415</v>
      </c>
      <c r="C10" s="7" t="n">
        <v>11607</v>
      </c>
      <c r="D10" s="8" t="n">
        <f aca="false">B10/C10</f>
        <v>0.121909192728526</v>
      </c>
      <c r="E10" s="8" t="n">
        <f aca="false">B10/B17</f>
        <v>0.0320970851763638</v>
      </c>
      <c r="F10" s="10" t="s">
        <v>241</v>
      </c>
    </row>
    <row r="11" customFormat="false" ht="15" hidden="false" customHeight="true" outlineLevel="0" collapsed="false">
      <c r="A11" s="6" t="s">
        <v>247</v>
      </c>
      <c r="B11" s="7" t="n">
        <v>1528</v>
      </c>
      <c r="C11" s="7" t="n">
        <v>12563</v>
      </c>
      <c r="D11" s="8" t="n">
        <f aca="false">B11/C11</f>
        <v>0.121626999920401</v>
      </c>
      <c r="E11" s="8" t="n">
        <f aca="false">B11/B17</f>
        <v>0.0346603152999887</v>
      </c>
      <c r="F11" s="10" t="s">
        <v>241</v>
      </c>
    </row>
    <row r="12" customFormat="false" ht="15" hidden="false" customHeight="true" outlineLevel="0" collapsed="false">
      <c r="A12" s="6" t="s">
        <v>248</v>
      </c>
      <c r="B12" s="7" t="n">
        <v>1433</v>
      </c>
      <c r="C12" s="7" t="n">
        <v>15963</v>
      </c>
      <c r="D12" s="8" t="n">
        <f aca="false">B12/C12</f>
        <v>0.0897700933408507</v>
      </c>
      <c r="E12" s="8" t="n">
        <f aca="false">B12/B17</f>
        <v>0.0325053873199501</v>
      </c>
      <c r="F12" s="10" t="s">
        <v>241</v>
      </c>
    </row>
    <row r="13" customFormat="false" ht="15" hidden="false" customHeight="true" outlineLevel="0" collapsed="false">
      <c r="A13" s="6" t="s">
        <v>249</v>
      </c>
      <c r="B13" s="7" t="n">
        <v>842</v>
      </c>
      <c r="C13" s="7" t="n">
        <v>15183</v>
      </c>
      <c r="D13" s="8" t="n">
        <f aca="false">B13/C13</f>
        <v>0.0554567608509517</v>
      </c>
      <c r="E13" s="8" t="n">
        <f aca="false">B13/B17</f>
        <v>0.0190994669388681</v>
      </c>
      <c r="F13" s="10" t="s">
        <v>241</v>
      </c>
    </row>
    <row r="14" customFormat="false" ht="15" hidden="false" customHeight="true" outlineLevel="0" collapsed="false">
      <c r="A14" s="6" t="s">
        <v>250</v>
      </c>
      <c r="B14" s="7" t="n">
        <v>609</v>
      </c>
      <c r="C14" s="7" t="n">
        <v>14830</v>
      </c>
      <c r="D14" s="8" t="n">
        <f aca="false">B14/C14</f>
        <v>0.0410654079568442</v>
      </c>
      <c r="E14" s="8" t="n">
        <f aca="false">B14/B17</f>
        <v>0.0138142225246683</v>
      </c>
      <c r="F14" s="10" t="s">
        <v>241</v>
      </c>
    </row>
    <row r="15" customFormat="false" ht="15" hidden="false" customHeight="true" outlineLevel="0" collapsed="false">
      <c r="A15" s="6" t="s">
        <v>251</v>
      </c>
      <c r="B15" s="7" t="n">
        <v>481</v>
      </c>
      <c r="C15" s="7" t="n">
        <v>24595</v>
      </c>
      <c r="D15" s="8" t="n">
        <f aca="false">B15/C15</f>
        <v>0.0195568204919699</v>
      </c>
      <c r="E15" s="8" t="n">
        <f aca="false">B15/B17</f>
        <v>0.0109107406147216</v>
      </c>
      <c r="F15" s="10" t="s">
        <v>241</v>
      </c>
    </row>
    <row r="16" customFormat="false" ht="15" hidden="false" customHeight="true" outlineLevel="0" collapsed="false">
      <c r="A16" s="6" t="s">
        <v>203</v>
      </c>
      <c r="B16" s="7" t="n">
        <v>667</v>
      </c>
      <c r="C16" s="9" t="s">
        <v>205</v>
      </c>
      <c r="D16" s="9"/>
      <c r="E16" s="8" t="n">
        <f aca="false">B16/B17</f>
        <v>0.0151298627651129</v>
      </c>
      <c r="F16" s="10" t="s">
        <v>241</v>
      </c>
    </row>
    <row r="17" customFormat="false" ht="15" hidden="false" customHeight="true" outlineLevel="0" collapsed="false">
      <c r="A17" s="32" t="s">
        <v>151</v>
      </c>
      <c r="B17" s="12" t="n">
        <f aca="false">SUM(B5:B16)</f>
        <v>44085</v>
      </c>
      <c r="C17" s="12" t="n">
        <v>164892</v>
      </c>
      <c r="D17" s="13"/>
      <c r="E17" s="13"/>
      <c r="F17" s="34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2026-03-21T12:33:18Z</dcterms:created>
  <dc:creator>openpyxl</dc:creator>
  <dc:description/>
  <dc:language>en-US</dc:language>
  <cp:lastModifiedBy/>
  <dcterms:modified xsi:type="dcterms:W3CDTF">2026-03-23T08:25:22Z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