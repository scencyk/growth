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 per feature" sheetId="1" state="visible" r:id="rId3"/>
    <sheet name="Statusy lekarzy" sheetId="2" state="visible" r:id="rId4"/>
    <sheet name="Top VOD" sheetId="3" state="visible" r:id="rId5"/>
    <sheet name="Trend VOD" sheetId="4" state="visible" r:id="rId6"/>
    <sheet name="Student lifecycle" sheetId="5" state="visible" r:id="rId7"/>
    <sheet name="Wartość dla pharmy" sheetId="6" state="visible" r:id="rId8"/>
    <sheet name="Top artykuł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<sst xmlns="http://schemas.openxmlformats.org/spreadsheetml/2006/main" count="180" uniqueCount="122">
  <si>
    <t xml:space="preserve">Rozkład ról na feature'ach — ostatnie 30 dni</t>
  </si>
  <si>
    <t xml:space="preserve">Feature</t>
  </si>
  <si>
    <t xml:space="preserve">Total UU</t>
  </si>
  <si>
    <t xml:space="preserve">Lekarz UU</t>
  </si>
  <si>
    <t xml:space="preserve">Student UU</t>
  </si>
  <si>
    <t xml:space="preserve">Inni UU</t>
  </si>
  <si>
    <t xml:space="preserve">% Lekarz</t>
  </si>
  <si>
    <t xml:space="preserve">% Student</t>
  </si>
  <si>
    <t xml:space="preserve">% Inni</t>
  </si>
  <si>
    <t xml:space="preserve">Artykuły</t>
  </si>
  <si>
    <t xml:space="preserve">Kalkulatory</t>
  </si>
  <si>
    <t xml:space="preserve">Enc. rezydentur</t>
  </si>
  <si>
    <t xml:space="preserve">Konferencje</t>
  </si>
  <si>
    <t xml:space="preserve">ICD-10</t>
  </si>
  <si>
    <t xml:space="preserve">VOD</t>
  </si>
  <si>
    <t xml:space="preserve">Poradniki</t>
  </si>
  <si>
    <t xml:space="preserve">Egzaminy</t>
  </si>
  <si>
    <t xml:space="preserve">Meds (leki)</t>
  </si>
  <si>
    <t xml:space="preserve">Kursy</t>
  </si>
  <si>
    <t xml:space="preserve">Przypadki kliniczne</t>
  </si>
  <si>
    <t xml:space="preserve">Lekarze po statusie — per feature (30 dni)</t>
  </si>
  <si>
    <t xml:space="preserve">Specjalista</t>
  </si>
  <si>
    <t xml:space="preserve">Rezydent</t>
  </si>
  <si>
    <t xml:space="preserve">Stażysta</t>
  </si>
  <si>
    <t xml:space="preserve">Bez spec.</t>
  </si>
  <si>
    <t xml:space="preserve">Razem lekarzy</t>
  </si>
  <si>
    <t xml:space="preserve">% Specjalista</t>
  </si>
  <si>
    <t xml:space="preserve">% Rezydent</t>
  </si>
  <si>
    <t xml:space="preserve">% Bez spec.</t>
  </si>
  <si>
    <t xml:space="preserve">Top 15 filmów VOD — ostatnie 2 lata</t>
  </si>
  <si>
    <t xml:space="preserve">Tytuł</t>
  </si>
  <si>
    <t xml:space="preserve">Unikalni użytkownicy</t>
  </si>
  <si>
    <t xml:space="preserve">Pageviews</t>
  </si>
  <si>
    <t xml:space="preserve">PV/user</t>
  </si>
  <si>
    <t xml:space="preserve">Choroby zakaźne w POZ</t>
  </si>
  <si>
    <t xml:space="preserve">Bilans zero – badanie wypisowe noworodka</t>
  </si>
  <si>
    <t xml:space="preserve">COVID-19 w 2025 – wytyczne szczepień</t>
  </si>
  <si>
    <t xml:space="preserve">Migotanie przedsionków – jak leczyć 2024/2025</t>
  </si>
  <si>
    <t xml:space="preserve">Cukrzyca w POZ – jak zacząć leczenie</t>
  </si>
  <si>
    <t xml:space="preserve">Depresja poudarowa – diagnostyka i leczenie</t>
  </si>
  <si>
    <t xml:space="preserve">Rekrutacja na rezydenturę w pigułce</t>
  </si>
  <si>
    <t xml:space="preserve">IBS/SIBO – objawy, leczenie</t>
  </si>
  <si>
    <t xml:space="preserve">Dermatozy w POZ</t>
  </si>
  <si>
    <t xml:space="preserve">Kaszel poinfekcyjny – kompendium</t>
  </si>
  <si>
    <t xml:space="preserve">VOD — trend miesięczny (18 miesięcy)</t>
  </si>
  <si>
    <t xml:space="preserve">Miesiąc</t>
  </si>
  <si>
    <t xml:space="preserve">Lip 2024</t>
  </si>
  <si>
    <t xml:space="preserve">Sie 2024</t>
  </si>
  <si>
    <t xml:space="preserve">Wrz 2024</t>
  </si>
  <si>
    <t xml:space="preserve">Paź 2024</t>
  </si>
  <si>
    <t xml:space="preserve">Lis 2024</t>
  </si>
  <si>
    <t xml:space="preserve">Gru 2024</t>
  </si>
  <si>
    <t xml:space="preserve">Sty 2025</t>
  </si>
  <si>
    <t xml:space="preserve">Lut 2025</t>
  </si>
  <si>
    <t xml:space="preserve">Mar 2025</t>
  </si>
  <si>
    <t xml:space="preserve">Kwi 2025</t>
  </si>
  <si>
    <t xml:space="preserve">Maj 2025</t>
  </si>
  <si>
    <t xml:space="preserve">Cze 2025</t>
  </si>
  <si>
    <t xml:space="preserve">Lip 2025</t>
  </si>
  <si>
    <t xml:space="preserve">Sie 2025</t>
  </si>
  <si>
    <t xml:space="preserve">Wrz 2025</t>
  </si>
  <si>
    <t xml:space="preserve">Paź 2025</t>
  </si>
  <si>
    <t xml:space="preserve">Lis 2025</t>
  </si>
  <si>
    <t xml:space="preserve">Gru 2025</t>
  </si>
  <si>
    <t xml:space="preserve">Sty 2026</t>
  </si>
  <si>
    <t xml:space="preserve">Lut 2026</t>
  </si>
  <si>
    <t xml:space="preserve">Lifecycle studentów: egzaminy → retencja</t>
  </si>
  <si>
    <t xml:space="preserve">Studenci na egzaminach — trend</t>
  </si>
  <si>
    <t xml:space="preserve">Studenci UU</t>
  </si>
  <si>
    <t xml:space="preserve">Zmiana m/m</t>
  </si>
  <si>
    <t xml:space="preserve">Ex-studenci egzaminów (2024-2025) — obecne role</t>
  </si>
  <si>
    <t xml:space="preserve">Obecna rola</t>
  </si>
  <si>
    <t xml:space="preserve">UU</t>
  </si>
  <si>
    <t xml:space="preserve">% total</t>
  </si>
  <si>
    <t xml:space="preserve">Lekarz bez specjalizacji</t>
  </si>
  <si>
    <t xml:space="preserve">Student (nadal)</t>
  </si>
  <si>
    <t xml:space="preserve">Inni</t>
  </si>
  <si>
    <t xml:space="preserve">Atrakcyjność feature'ów dla kampanii pharma</t>
  </si>
  <si>
    <t xml:space="preserve">Specjaliści UU</t>
  </si>
  <si>
    <t xml:space="preserve">% specjalistów</t>
  </si>
  <si>
    <t xml:space="preserve">PV/miesiąc</t>
  </si>
  <si>
    <t xml:space="preserve">Tier</t>
  </si>
  <si>
    <t xml:space="preserve">Rekomendacja</t>
  </si>
  <si>
    <t xml:space="preserve">Premium</t>
  </si>
  <si>
    <t xml:space="preserve">Branded content, pre-roll</t>
  </si>
  <si>
    <t xml:space="preserve">Sponsoring, display</t>
  </si>
  <si>
    <t xml:space="preserve">Potencjał</t>
  </si>
  <si>
    <t xml:space="preserve">Mały wolumen, wysoki %</t>
  </si>
  <si>
    <t xml:space="preserve">Wolumen</t>
  </si>
  <si>
    <t xml:space="preserve">Awareness campaigns</t>
  </si>
  <si>
    <t xml:space="preserve">Niszowy</t>
  </si>
  <si>
    <t xml:space="preserve">Branded cases</t>
  </si>
  <si>
    <t xml:space="preserve">Display, natywne</t>
  </si>
  <si>
    <t xml:space="preserve">Display przy kalkulatorach</t>
  </si>
  <si>
    <t xml:space="preserve">Studencki</t>
  </si>
  <si>
    <t xml:space="preserve">Nie dla pharmy (studenci)</t>
  </si>
  <si>
    <t xml:space="preserve">Narzędziowy</t>
  </si>
  <si>
    <t xml:space="preserve">Kontekstowe reklamy</t>
  </si>
  <si>
    <t xml:space="preserve">Duży PV, mało spec.</t>
  </si>
  <si>
    <t xml:space="preserve">Nie dla pharmy</t>
  </si>
  <si>
    <t xml:space="preserve">Top 20 artykułów — ostatnie 30 dni</t>
  </si>
  <si>
    <t xml:space="preserve">PV</t>
  </si>
  <si>
    <t xml:space="preserve">Rezydentury 2026 – terminy, punktacja, procedura</t>
  </si>
  <si>
    <t xml:space="preserve">Publikacje (listing)</t>
  </si>
  <si>
    <t xml:space="preserve">Wyniki LEK 2026</t>
  </si>
  <si>
    <t xml:space="preserve">NRL chce dopuścić podwójną specjalizację</t>
  </si>
  <si>
    <t xml:space="preserve">Jesienna sesja LEK i LDEK 2026 – daty egzaminów</t>
  </si>
  <si>
    <t xml:space="preserve">LEK wiosna 2026 – między bazą a zaskoczeniem</t>
  </si>
  <si>
    <t xml:space="preserve">Vademecum: Rezydentura lekarska (kategoria)</t>
  </si>
  <si>
    <t xml:space="preserve">Samorząd lekarski chce końca egzaminów z bazy</t>
  </si>
  <si>
    <t xml:space="preserve">Wyniki LEK 2026 (inna ścieżka)</t>
  </si>
  <si>
    <t xml:space="preserve">SMK: Jak złożyć wniosek na specjalizację?</t>
  </si>
  <si>
    <t xml:space="preserve">Rejestracja indywidualnej praktyki lekarskiej</t>
  </si>
  <si>
    <t xml:space="preserve">Vademecum (listing)</t>
  </si>
  <si>
    <t xml:space="preserve">Staż podyplomowy (kategoria)</t>
  </si>
  <si>
    <t xml:space="preserve">Rekrutacja na tryb pozarezydencki</t>
  </si>
  <si>
    <t xml:space="preserve">Certyfikat z ZUS – przewodnik</t>
  </si>
  <si>
    <t xml:space="preserve">Ogólnopolska rekrutacja na rezydentury – Q&amp;A</t>
  </si>
  <si>
    <t xml:space="preserve">Wiosenny LEK 2026 – Poznań na czele</t>
  </si>
  <si>
    <t xml:space="preserve">e-ZLA na PUE ZUS – przewodnik</t>
  </si>
  <si>
    <t xml:space="preserve">Recepta pro familiae</t>
  </si>
  <si>
    <t xml:space="preserve">Zmiany na SOR-ach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</si>
</sst>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"/>
    <numFmt numFmtId="167" formatCode="#,##0"/>
    <numFmt numFmtId="168" formatCode="\+0.0%;\-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35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35FF"/>
        <bgColor rgb="FF3366FF"/>
      </patternFill>
    </fill>
    <fill>
      <patternFill patternType="solid">
        <fgColor rgb="FFD1FAE5"/>
        <bgColor rgb="FFDBEAFE"/>
      </patternFill>
    </fill>
    <fill>
      <patternFill patternType="solid">
        <fgColor rgb="FFE8E9FF"/>
        <bgColor rgb="FFDBEAFE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8E9FF"/>
      </patternFill>
    </fill>
    <fill>
      <patternFill patternType="solid">
        <fgColor rgb="FFF3F4F6"/>
        <bgColor rgb="FFE8E9FF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9FF"/>
      <rgbColor rgb="FFD1FAE5"/>
      <rgbColor rgb="FFF3F4F6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35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n">
        <v>15995</v>
      </c>
      <c r="C4" s="4" t="n">
        <v>10423</v>
      </c>
      <c r="D4" s="4" t="n">
        <v>4882</v>
      </c>
      <c r="E4" s="4" t="n">
        <v>690</v>
      </c>
      <c r="F4" s="5" t="n">
        <f aca="false">C4/B4</f>
        <v>0.65164113785558</v>
      </c>
      <c r="G4" s="5" t="n">
        <f aca="false">D4/B4</f>
        <v>0.305220381369178</v>
      </c>
      <c r="H4" s="5" t="n">
        <f aca="false">E4/B4</f>
        <v>0.0431384807752423</v>
      </c>
    </row>
    <row r="5" customFormat="false" ht="15" hidden="false" customHeight="false" outlineLevel="0" collapsed="false">
      <c r="A5" s="3" t="s">
        <v>10</v>
      </c>
      <c r="B5" s="4" t="n">
        <v>13340</v>
      </c>
      <c r="C5" s="4" t="n">
        <v>9237</v>
      </c>
      <c r="D5" s="4" t="n">
        <v>3631</v>
      </c>
      <c r="E5" s="4" t="n">
        <v>472</v>
      </c>
      <c r="F5" s="5" t="n">
        <f aca="false">C5/B5</f>
        <v>0.692428785607197</v>
      </c>
      <c r="G5" s="5" t="n">
        <f aca="false">D5/B5</f>
        <v>0.272188905547226</v>
      </c>
      <c r="H5" s="5" t="n">
        <f aca="false">E5/B5</f>
        <v>0.0353823088455772</v>
      </c>
    </row>
    <row r="6" customFormat="false" ht="15" hidden="false" customHeight="false" outlineLevel="0" collapsed="false">
      <c r="A6" s="3" t="s">
        <v>11</v>
      </c>
      <c r="B6" s="4" t="n">
        <v>9731</v>
      </c>
      <c r="C6" s="4" t="n">
        <v>5622</v>
      </c>
      <c r="D6" s="4" t="n">
        <v>3978</v>
      </c>
      <c r="E6" s="4" t="n">
        <v>131</v>
      </c>
      <c r="F6" s="5" t="n">
        <f aca="false">C6/B6</f>
        <v>0.577741239338198</v>
      </c>
      <c r="G6" s="5" t="n">
        <f aca="false">D6/B6</f>
        <v>0.408796629328949</v>
      </c>
      <c r="H6" s="5" t="n">
        <f aca="false">E6/B6</f>
        <v>0.0134621313328538</v>
      </c>
    </row>
    <row r="7" customFormat="false" ht="15" hidden="false" customHeight="false" outlineLevel="0" collapsed="false">
      <c r="A7" s="3" t="s">
        <v>12</v>
      </c>
      <c r="B7" s="4" t="n">
        <v>8417</v>
      </c>
      <c r="C7" s="4" t="n">
        <v>6134</v>
      </c>
      <c r="D7" s="4" t="n">
        <v>1894</v>
      </c>
      <c r="E7" s="4" t="n">
        <v>389</v>
      </c>
      <c r="F7" s="5" t="n">
        <f aca="false">C7/B7</f>
        <v>0.728763217298325</v>
      </c>
      <c r="G7" s="5" t="n">
        <f aca="false">D7/B7</f>
        <v>0.225020791255792</v>
      </c>
      <c r="H7" s="5" t="n">
        <f aca="false">E7/B7</f>
        <v>0.0462159914458833</v>
      </c>
    </row>
    <row r="8" customFormat="false" ht="15" hidden="false" customHeight="false" outlineLevel="0" collapsed="false">
      <c r="A8" s="3" t="s">
        <v>13</v>
      </c>
      <c r="B8" s="4" t="n">
        <v>6210</v>
      </c>
      <c r="C8" s="4" t="n">
        <v>4999</v>
      </c>
      <c r="D8" s="4" t="n">
        <v>959</v>
      </c>
      <c r="E8" s="4" t="n">
        <v>252</v>
      </c>
      <c r="F8" s="5" t="n">
        <f aca="false">C8/B8</f>
        <v>0.804991948470209</v>
      </c>
      <c r="G8" s="5" t="n">
        <f aca="false">D8/B8</f>
        <v>0.154428341384863</v>
      </c>
      <c r="H8" s="5" t="n">
        <f aca="false">E8/B8</f>
        <v>0.0405797101449275</v>
      </c>
    </row>
    <row r="9" customFormat="false" ht="15" hidden="false" customHeight="false" outlineLevel="0" collapsed="false">
      <c r="A9" s="3" t="s">
        <v>14</v>
      </c>
      <c r="B9" s="4" t="n">
        <v>4919</v>
      </c>
      <c r="C9" s="4" t="n">
        <v>3930</v>
      </c>
      <c r="D9" s="4" t="n">
        <v>701</v>
      </c>
      <c r="E9" s="4" t="n">
        <v>288</v>
      </c>
      <c r="F9" s="5" t="n">
        <f aca="false">C9/B9</f>
        <v>0.798942874568002</v>
      </c>
      <c r="G9" s="5" t="n">
        <f aca="false">D9/B9</f>
        <v>0.142508639967473</v>
      </c>
      <c r="H9" s="5" t="n">
        <f aca="false">E9/B9</f>
        <v>0.0585484854645253</v>
      </c>
    </row>
    <row r="10" customFormat="false" ht="15" hidden="false" customHeight="false" outlineLevel="0" collapsed="false">
      <c r="A10" s="3" t="s">
        <v>15</v>
      </c>
      <c r="B10" s="4" t="n">
        <v>4801</v>
      </c>
      <c r="C10" s="4" t="n">
        <v>3491</v>
      </c>
      <c r="D10" s="4" t="n">
        <v>1037</v>
      </c>
      <c r="E10" s="4" t="n">
        <v>273</v>
      </c>
      <c r="F10" s="5" t="n">
        <f aca="false">C10/B10</f>
        <v>0.727140179129348</v>
      </c>
      <c r="G10" s="5" t="n">
        <f aca="false">D10/B10</f>
        <v>0.215996667360966</v>
      </c>
      <c r="H10" s="5" t="n">
        <f aca="false">E10/B10</f>
        <v>0.0568631535096855</v>
      </c>
    </row>
    <row r="11" customFormat="false" ht="15" hidden="false" customHeight="false" outlineLevel="0" collapsed="false">
      <c r="A11" s="3" t="s">
        <v>16</v>
      </c>
      <c r="B11" s="4" t="n">
        <v>3785</v>
      </c>
      <c r="C11" s="4" t="n">
        <v>1746</v>
      </c>
      <c r="D11" s="4" t="n">
        <v>1834</v>
      </c>
      <c r="E11" s="4" t="n">
        <v>205</v>
      </c>
      <c r="F11" s="5" t="n">
        <f aca="false">C11/B11</f>
        <v>0.461294583883752</v>
      </c>
      <c r="G11" s="5" t="n">
        <f aca="false">D11/B11</f>
        <v>0.484544253632761</v>
      </c>
      <c r="H11" s="5" t="n">
        <f aca="false">E11/B11</f>
        <v>0.0541611624834875</v>
      </c>
    </row>
    <row r="12" customFormat="false" ht="15" hidden="false" customHeight="false" outlineLevel="0" collapsed="false">
      <c r="A12" s="3" t="s">
        <v>17</v>
      </c>
      <c r="B12" s="4" t="n">
        <v>3164</v>
      </c>
      <c r="C12" s="4" t="n">
        <v>2101</v>
      </c>
      <c r="D12" s="4" t="n">
        <v>780</v>
      </c>
      <c r="E12" s="4" t="n">
        <v>283</v>
      </c>
      <c r="F12" s="5" t="n">
        <f aca="false">C12/B12</f>
        <v>0.664032869785082</v>
      </c>
      <c r="G12" s="5" t="n">
        <f aca="false">D12/B12</f>
        <v>0.246523388116308</v>
      </c>
      <c r="H12" s="5" t="n">
        <f aca="false">E12/B12</f>
        <v>0.0894437420986094</v>
      </c>
    </row>
    <row r="13" customFormat="false" ht="15" hidden="false" customHeight="false" outlineLevel="0" collapsed="false">
      <c r="A13" s="3" t="s">
        <v>18</v>
      </c>
      <c r="B13" s="4" t="n">
        <v>2395</v>
      </c>
      <c r="C13" s="4" t="n">
        <v>1687</v>
      </c>
      <c r="D13" s="4" t="n">
        <v>545</v>
      </c>
      <c r="E13" s="4" t="n">
        <v>163</v>
      </c>
      <c r="F13" s="5" t="n">
        <f aca="false">C13/B13</f>
        <v>0.704384133611691</v>
      </c>
      <c r="G13" s="5" t="n">
        <f aca="false">D13/B13</f>
        <v>0.227557411273486</v>
      </c>
      <c r="H13" s="5" t="n">
        <f aca="false">E13/B13</f>
        <v>0.0680584551148225</v>
      </c>
    </row>
    <row r="14" customFormat="false" ht="15" hidden="false" customHeight="false" outlineLevel="0" collapsed="false">
      <c r="A14" s="3" t="s">
        <v>19</v>
      </c>
      <c r="B14" s="4" t="n">
        <v>1447</v>
      </c>
      <c r="C14" s="4" t="n">
        <v>957</v>
      </c>
      <c r="D14" s="4" t="n">
        <v>391</v>
      </c>
      <c r="E14" s="4" t="n">
        <v>99</v>
      </c>
      <c r="F14" s="5" t="n">
        <f aca="false">C14/B14</f>
        <v>0.661368348306842</v>
      </c>
      <c r="G14" s="5" t="n">
        <f aca="false">D14/B14</f>
        <v>0.270214236351071</v>
      </c>
      <c r="H14" s="5" t="n">
        <f aca="false">E14/B14</f>
        <v>0.0684174153420871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2" t="s">
        <v>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</row>
    <row r="4" customFormat="false" ht="15" hidden="false" customHeight="false" outlineLevel="0" collapsed="false">
      <c r="A4" s="3" t="s">
        <v>14</v>
      </c>
      <c r="B4" s="4" t="n">
        <v>804</v>
      </c>
      <c r="C4" s="4" t="n">
        <v>984</v>
      </c>
      <c r="D4" s="4" t="n">
        <v>435</v>
      </c>
      <c r="E4" s="4" t="n">
        <v>1704</v>
      </c>
      <c r="F4" s="4" t="n">
        <f aca="false">SUM(B4:E4)</f>
        <v>3927</v>
      </c>
      <c r="G4" s="6" t="n">
        <f aca="false">B4/F4</f>
        <v>0.204736440030558</v>
      </c>
      <c r="H4" s="5" t="n">
        <f aca="false">C4/F4</f>
        <v>0.250572956455309</v>
      </c>
      <c r="I4" s="5" t="n">
        <f aca="false">E4/F4</f>
        <v>0.433919022154316</v>
      </c>
    </row>
    <row r="5" customFormat="false" ht="15" hidden="false" customHeight="false" outlineLevel="0" collapsed="false">
      <c r="A5" s="3" t="s">
        <v>12</v>
      </c>
      <c r="B5" s="4" t="n">
        <v>1084</v>
      </c>
      <c r="C5" s="4" t="n">
        <v>1441</v>
      </c>
      <c r="D5" s="4" t="n">
        <v>827</v>
      </c>
      <c r="E5" s="4" t="n">
        <v>2779</v>
      </c>
      <c r="F5" s="4" t="n">
        <f aca="false">SUM(B5:E5)</f>
        <v>6131</v>
      </c>
      <c r="G5" s="6" t="n">
        <f aca="false">B5/F5</f>
        <v>0.176806393736748</v>
      </c>
      <c r="H5" s="5" t="n">
        <f aca="false">C5/F5</f>
        <v>0.235035067688795</v>
      </c>
      <c r="I5" s="5" t="n">
        <f aca="false">E5/F5</f>
        <v>0.453270265862013</v>
      </c>
    </row>
    <row r="6" customFormat="false" ht="15" hidden="false" customHeight="false" outlineLevel="0" collapsed="false">
      <c r="A6" s="3" t="s">
        <v>18</v>
      </c>
      <c r="B6" s="4" t="n">
        <v>302</v>
      </c>
      <c r="C6" s="4" t="n">
        <v>450</v>
      </c>
      <c r="D6" s="4" t="n">
        <v>196</v>
      </c>
      <c r="E6" s="4" t="n">
        <v>736</v>
      </c>
      <c r="F6" s="4" t="n">
        <f aca="false">SUM(B6:E6)</f>
        <v>1684</v>
      </c>
      <c r="G6" s="6" t="n">
        <f aca="false">B6/F6</f>
        <v>0.179334916864608</v>
      </c>
      <c r="H6" s="5" t="n">
        <f aca="false">C6/F6</f>
        <v>0.267220902612827</v>
      </c>
      <c r="I6" s="5" t="n">
        <f aca="false">E6/F6</f>
        <v>0.437054631828979</v>
      </c>
    </row>
    <row r="7" customFormat="false" ht="15" hidden="false" customHeight="false" outlineLevel="0" collapsed="false">
      <c r="A7" s="3" t="s">
        <v>9</v>
      </c>
      <c r="B7" s="4" t="n">
        <v>1221</v>
      </c>
      <c r="C7" s="4" t="n">
        <v>2339</v>
      </c>
      <c r="D7" s="4" t="n">
        <v>1609</v>
      </c>
      <c r="E7" s="4" t="n">
        <v>5245</v>
      </c>
      <c r="F7" s="4" t="n">
        <f aca="false">SUM(B7:E7)</f>
        <v>10414</v>
      </c>
      <c r="G7" s="5" t="n">
        <f aca="false">B7/F7</f>
        <v>0.117246014979835</v>
      </c>
      <c r="H7" s="5" t="n">
        <f aca="false">C7/F7</f>
        <v>0.224601497983484</v>
      </c>
      <c r="I7" s="5" t="n">
        <f aca="false">E7/F7</f>
        <v>0.503648934127137</v>
      </c>
    </row>
    <row r="8" customFormat="false" ht="15" hidden="false" customHeight="false" outlineLevel="0" collapsed="false">
      <c r="A8" s="3" t="s">
        <v>19</v>
      </c>
      <c r="B8" s="4" t="n">
        <v>118</v>
      </c>
      <c r="C8" s="4" t="n">
        <v>270</v>
      </c>
      <c r="D8" s="4" t="n">
        <v>146</v>
      </c>
      <c r="E8" s="4" t="n">
        <v>423</v>
      </c>
      <c r="F8" s="4" t="n">
        <f aca="false">SUM(B8:E8)</f>
        <v>957</v>
      </c>
      <c r="G8" s="5" t="n">
        <f aca="false">B8/F8</f>
        <v>0.123301985370951</v>
      </c>
      <c r="H8" s="5" t="n">
        <f aca="false">C8/F8</f>
        <v>0.282131661442006</v>
      </c>
      <c r="I8" s="5" t="n">
        <f aca="false">E8/F8</f>
        <v>0.442006269592476</v>
      </c>
    </row>
    <row r="9" customFormat="false" ht="15" hidden="false" customHeight="false" outlineLevel="0" collapsed="false">
      <c r="A9" s="3" t="s">
        <v>15</v>
      </c>
      <c r="B9" s="4" t="n">
        <v>393</v>
      </c>
      <c r="C9" s="4" t="n">
        <v>953</v>
      </c>
      <c r="D9" s="4" t="n">
        <v>413</v>
      </c>
      <c r="E9" s="4" t="n">
        <v>1731</v>
      </c>
      <c r="F9" s="4" t="n">
        <f aca="false">SUM(B9:E9)</f>
        <v>3490</v>
      </c>
      <c r="G9" s="5" t="n">
        <f aca="false">B9/F9</f>
        <v>0.112607449856734</v>
      </c>
      <c r="H9" s="5" t="n">
        <f aca="false">C9/F9</f>
        <v>0.273065902578797</v>
      </c>
      <c r="I9" s="5" t="n">
        <f aca="false">E9/F9</f>
        <v>0.495988538681948</v>
      </c>
    </row>
    <row r="10" customFormat="false" ht="15" hidden="false" customHeight="false" outlineLevel="0" collapsed="false">
      <c r="A10" s="3" t="s">
        <v>10</v>
      </c>
      <c r="B10" s="4" t="n">
        <v>954</v>
      </c>
      <c r="C10" s="4" t="n">
        <v>2079</v>
      </c>
      <c r="D10" s="4" t="n">
        <v>1477</v>
      </c>
      <c r="E10" s="4" t="n">
        <v>4704</v>
      </c>
      <c r="F10" s="4" t="n">
        <f aca="false">SUM(B10:E10)</f>
        <v>9214</v>
      </c>
      <c r="G10" s="5" t="n">
        <f aca="false">B10/F10</f>
        <v>0.103538094204471</v>
      </c>
      <c r="H10" s="5" t="n">
        <f aca="false">C10/F10</f>
        <v>0.225634903407858</v>
      </c>
      <c r="I10" s="5" t="n">
        <f aca="false">E10/F10</f>
        <v>0.510527458215759</v>
      </c>
    </row>
    <row r="11" customFormat="false" ht="15" hidden="false" customHeight="false" outlineLevel="0" collapsed="false">
      <c r="A11" s="3" t="s">
        <v>16</v>
      </c>
      <c r="B11" s="4" t="n">
        <v>170</v>
      </c>
      <c r="C11" s="4" t="n">
        <v>505</v>
      </c>
      <c r="D11" s="4" t="n">
        <v>233</v>
      </c>
      <c r="E11" s="4" t="n">
        <v>837</v>
      </c>
      <c r="F11" s="4" t="n">
        <f aca="false">SUM(B11:E11)</f>
        <v>1745</v>
      </c>
      <c r="G11" s="5" t="n">
        <f aca="false">B11/F11</f>
        <v>0.0974212034383954</v>
      </c>
      <c r="H11" s="5" t="n">
        <f aca="false">C11/F11</f>
        <v>0.289398280802292</v>
      </c>
      <c r="I11" s="5" t="n">
        <f aca="false">E11/F11</f>
        <v>0.479656160458453</v>
      </c>
    </row>
    <row r="12" customFormat="false" ht="15" hidden="false" customHeight="false" outlineLevel="0" collapsed="false">
      <c r="A12" s="3" t="s">
        <v>13</v>
      </c>
      <c r="B12" s="4" t="n">
        <v>471</v>
      </c>
      <c r="C12" s="4" t="n">
        <v>1278</v>
      </c>
      <c r="D12" s="4" t="n">
        <v>520</v>
      </c>
      <c r="E12" s="4" t="n">
        <v>2711</v>
      </c>
      <c r="F12" s="4" t="n">
        <f aca="false">SUM(B12:E12)</f>
        <v>4980</v>
      </c>
      <c r="G12" s="5" t="n">
        <f aca="false">B12/F12</f>
        <v>0.0945783132530121</v>
      </c>
      <c r="H12" s="5" t="n">
        <f aca="false">C12/F12</f>
        <v>0.256626506024096</v>
      </c>
      <c r="I12" s="5" t="n">
        <f aca="false">E12/F12</f>
        <v>0.544377510040161</v>
      </c>
    </row>
    <row r="13" customFormat="false" ht="15" hidden="false" customHeight="false" outlineLevel="0" collapsed="false">
      <c r="A13" s="3" t="s">
        <v>17</v>
      </c>
      <c r="B13" s="4" t="n">
        <v>191</v>
      </c>
      <c r="C13" s="4" t="n">
        <v>568</v>
      </c>
      <c r="D13" s="4" t="n">
        <v>212</v>
      </c>
      <c r="E13" s="4" t="n">
        <v>1129</v>
      </c>
      <c r="F13" s="4" t="n">
        <f aca="false">SUM(B13:E13)</f>
        <v>2100</v>
      </c>
      <c r="G13" s="5" t="n">
        <f aca="false">B13/F13</f>
        <v>0.090952380952381</v>
      </c>
      <c r="H13" s="5" t="n">
        <f aca="false">C13/F13</f>
        <v>0.270476190476191</v>
      </c>
      <c r="I13" s="5" t="n">
        <f aca="false">E13/F13</f>
        <v>0.537619047619048</v>
      </c>
    </row>
    <row r="14" customFormat="false" ht="15" hidden="false" customHeight="false" outlineLevel="0" collapsed="false">
      <c r="A14" s="3" t="s">
        <v>11</v>
      </c>
      <c r="B14" s="4" t="n">
        <v>159</v>
      </c>
      <c r="C14" s="4" t="n">
        <v>1070</v>
      </c>
      <c r="D14" s="4" t="n">
        <v>1181</v>
      </c>
      <c r="E14" s="4" t="n">
        <v>3207</v>
      </c>
      <c r="F14" s="4" t="n">
        <f aca="false">SUM(B14:E14)</f>
        <v>5617</v>
      </c>
      <c r="G14" s="5" t="n">
        <f aca="false">B14/F14</f>
        <v>0.0283069254050205</v>
      </c>
      <c r="H14" s="5" t="n">
        <f aca="false">C14/F14</f>
        <v>0.19049314580737</v>
      </c>
      <c r="I14" s="5" t="n">
        <f aca="false">E14/F14</f>
        <v>0.570945344489941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29</v>
      </c>
      <c r="B1" s="1"/>
      <c r="C1" s="1"/>
      <c r="D1" s="1"/>
    </row>
    <row r="3" customFormat="false" ht="26.85" hidden="false" customHeight="false" outlineLevel="0" collapsed="false">
      <c r="A3" s="2" t="s">
        <v>30</v>
      </c>
      <c r="B3" s="2" t="s">
        <v>31</v>
      </c>
      <c r="C3" s="2" t="s">
        <v>32</v>
      </c>
      <c r="D3" s="2" t="s">
        <v>33</v>
      </c>
    </row>
    <row r="4" customFormat="false" ht="15" hidden="false" customHeight="false" outlineLevel="0" collapsed="false">
      <c r="A4" s="3" t="s">
        <v>34</v>
      </c>
      <c r="B4" s="4" t="n">
        <v>2434</v>
      </c>
      <c r="C4" s="4" t="n">
        <v>6924</v>
      </c>
      <c r="D4" s="7" t="n">
        <f aca="false">C4/B4</f>
        <v>2.84470008216927</v>
      </c>
    </row>
    <row r="5" customFormat="false" ht="15" hidden="false" customHeight="false" outlineLevel="0" collapsed="false">
      <c r="A5" s="3" t="s">
        <v>35</v>
      </c>
      <c r="B5" s="4" t="n">
        <v>2009</v>
      </c>
      <c r="C5" s="4" t="n">
        <v>5760</v>
      </c>
      <c r="D5" s="7" t="n">
        <f aca="false">C5/B5</f>
        <v>2.86709805873569</v>
      </c>
    </row>
    <row r="6" customFormat="false" ht="15" hidden="false" customHeight="false" outlineLevel="0" collapsed="false">
      <c r="A6" s="3" t="s">
        <v>36</v>
      </c>
      <c r="B6" s="4" t="n">
        <v>1958</v>
      </c>
      <c r="C6" s="4" t="n">
        <v>4736</v>
      </c>
      <c r="D6" s="7" t="n">
        <f aca="false">C6/B6</f>
        <v>2.41879468845761</v>
      </c>
    </row>
    <row r="7" customFormat="false" ht="15" hidden="false" customHeight="false" outlineLevel="0" collapsed="false">
      <c r="A7" s="3" t="s">
        <v>37</v>
      </c>
      <c r="B7" s="4" t="n">
        <v>1684</v>
      </c>
      <c r="C7" s="4" t="n">
        <v>4965</v>
      </c>
      <c r="D7" s="7" t="n">
        <f aca="false">C7/B7</f>
        <v>2.94833729216152</v>
      </c>
    </row>
    <row r="8" customFormat="false" ht="15" hidden="false" customHeight="false" outlineLevel="0" collapsed="false">
      <c r="A8" s="3" t="s">
        <v>38</v>
      </c>
      <c r="B8" s="4" t="n">
        <v>1353</v>
      </c>
      <c r="C8" s="4" t="n">
        <v>3578</v>
      </c>
      <c r="D8" s="7" t="n">
        <f aca="false">C8/B8</f>
        <v>2.64449371766445</v>
      </c>
    </row>
    <row r="9" customFormat="false" ht="15" hidden="false" customHeight="false" outlineLevel="0" collapsed="false">
      <c r="A9" s="3" t="s">
        <v>39</v>
      </c>
      <c r="B9" s="4" t="n">
        <v>1343</v>
      </c>
      <c r="C9" s="4" t="n">
        <v>3343</v>
      </c>
      <c r="D9" s="7" t="n">
        <f aca="false">C9/B9</f>
        <v>2.48920327624721</v>
      </c>
    </row>
    <row r="10" customFormat="false" ht="15" hidden="false" customHeight="false" outlineLevel="0" collapsed="false">
      <c r="A10" s="3" t="s">
        <v>40</v>
      </c>
      <c r="B10" s="4" t="n">
        <v>1337</v>
      </c>
      <c r="C10" s="4" t="n">
        <v>3460</v>
      </c>
      <c r="D10" s="7" t="n">
        <f aca="false">C10/B10</f>
        <v>2.58788332086761</v>
      </c>
    </row>
    <row r="11" customFormat="false" ht="15" hidden="false" customHeight="false" outlineLevel="0" collapsed="false">
      <c r="A11" s="3" t="s">
        <v>41</v>
      </c>
      <c r="B11" s="4" t="n">
        <v>1307</v>
      </c>
      <c r="C11" s="4" t="n">
        <v>3911</v>
      </c>
      <c r="D11" s="7" t="n">
        <f aca="false">C11/B11</f>
        <v>2.99234889058914</v>
      </c>
    </row>
    <row r="12" customFormat="false" ht="15" hidden="false" customHeight="false" outlineLevel="0" collapsed="false">
      <c r="A12" s="3" t="s">
        <v>42</v>
      </c>
      <c r="B12" s="4" t="n">
        <v>1243</v>
      </c>
      <c r="C12" s="4" t="n">
        <v>3218</v>
      </c>
      <c r="D12" s="7" t="n">
        <f aca="false">C12/B12</f>
        <v>2.58889782783588</v>
      </c>
    </row>
    <row r="13" customFormat="false" ht="15" hidden="false" customHeight="false" outlineLevel="0" collapsed="false">
      <c r="A13" s="3" t="s">
        <v>43</v>
      </c>
      <c r="B13" s="4" t="n">
        <v>1216</v>
      </c>
      <c r="C13" s="4" t="n">
        <v>3533</v>
      </c>
      <c r="D13" s="7" t="n">
        <f aca="false">C13/B13</f>
        <v>2.90542763157895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0"/>
  </cols>
  <sheetData>
    <row r="1" customFormat="false" ht="17.35" hidden="false" customHeight="false" outlineLevel="0" collapsed="false">
      <c r="A1" s="1" t="s">
        <v>44</v>
      </c>
      <c r="B1" s="1"/>
      <c r="C1" s="1"/>
    </row>
    <row r="3" customFormat="false" ht="26.85" hidden="false" customHeight="false" outlineLevel="0" collapsed="false">
      <c r="A3" s="2" t="s">
        <v>45</v>
      </c>
      <c r="B3" s="2" t="s">
        <v>32</v>
      </c>
      <c r="C3" s="2" t="s">
        <v>31</v>
      </c>
    </row>
    <row r="4" customFormat="false" ht="15" hidden="false" customHeight="false" outlineLevel="0" collapsed="false">
      <c r="A4" s="3" t="s">
        <v>46</v>
      </c>
      <c r="B4" s="8" t="n">
        <v>9000</v>
      </c>
      <c r="C4" s="8" t="n">
        <v>1500</v>
      </c>
    </row>
    <row r="5" customFormat="false" ht="15" hidden="false" customHeight="false" outlineLevel="0" collapsed="false">
      <c r="A5" s="3" t="s">
        <v>47</v>
      </c>
      <c r="B5" s="8" t="n">
        <v>11000</v>
      </c>
      <c r="C5" s="8" t="n">
        <v>1800</v>
      </c>
    </row>
    <row r="6" customFormat="false" ht="15" hidden="false" customHeight="false" outlineLevel="0" collapsed="false">
      <c r="A6" s="3" t="s">
        <v>48</v>
      </c>
      <c r="B6" s="8" t="n">
        <v>22000</v>
      </c>
      <c r="C6" s="8" t="n">
        <v>3200</v>
      </c>
    </row>
    <row r="7" customFormat="false" ht="15" hidden="false" customHeight="false" outlineLevel="0" collapsed="false">
      <c r="A7" s="3" t="s">
        <v>49</v>
      </c>
      <c r="B7" s="8" t="n">
        <v>31000</v>
      </c>
      <c r="C7" s="8" t="n">
        <v>3800</v>
      </c>
    </row>
    <row r="8" customFormat="false" ht="15" hidden="false" customHeight="false" outlineLevel="0" collapsed="false">
      <c r="A8" s="3" t="s">
        <v>50</v>
      </c>
      <c r="B8" s="8" t="n">
        <v>39000</v>
      </c>
      <c r="C8" s="8" t="n">
        <v>4300</v>
      </c>
    </row>
    <row r="9" customFormat="false" ht="15" hidden="false" customHeight="false" outlineLevel="0" collapsed="false">
      <c r="A9" s="3" t="s">
        <v>51</v>
      </c>
      <c r="B9" s="8" t="n">
        <v>28000</v>
      </c>
      <c r="C9" s="8" t="n">
        <v>3400</v>
      </c>
    </row>
    <row r="10" customFormat="false" ht="15" hidden="false" customHeight="false" outlineLevel="0" collapsed="false">
      <c r="A10" s="3" t="s">
        <v>52</v>
      </c>
      <c r="B10" s="8" t="n">
        <v>33000</v>
      </c>
      <c r="C10" s="8" t="n">
        <v>4000</v>
      </c>
    </row>
    <row r="11" customFormat="false" ht="15" hidden="false" customHeight="false" outlineLevel="0" collapsed="false">
      <c r="A11" s="3" t="s">
        <v>53</v>
      </c>
      <c r="B11" s="8" t="n">
        <v>30000</v>
      </c>
      <c r="C11" s="8" t="n">
        <v>3600</v>
      </c>
    </row>
    <row r="12" customFormat="false" ht="15" hidden="false" customHeight="false" outlineLevel="0" collapsed="false">
      <c r="A12" s="3" t="s">
        <v>54</v>
      </c>
      <c r="B12" s="8" t="n">
        <v>26000</v>
      </c>
      <c r="C12" s="8" t="n">
        <v>3300</v>
      </c>
    </row>
    <row r="13" customFormat="false" ht="15" hidden="false" customHeight="false" outlineLevel="0" collapsed="false">
      <c r="A13" s="3" t="s">
        <v>55</v>
      </c>
      <c r="B13" s="8" t="n">
        <v>28000</v>
      </c>
      <c r="C13" s="8" t="n">
        <v>3500</v>
      </c>
    </row>
    <row r="14" customFormat="false" ht="15" hidden="false" customHeight="false" outlineLevel="0" collapsed="false">
      <c r="A14" s="3" t="s">
        <v>56</v>
      </c>
      <c r="B14" s="8" t="n">
        <v>30000</v>
      </c>
      <c r="C14" s="8" t="n">
        <v>3700</v>
      </c>
    </row>
    <row r="15" customFormat="false" ht="15" hidden="false" customHeight="false" outlineLevel="0" collapsed="false">
      <c r="A15" s="3" t="s">
        <v>57</v>
      </c>
      <c r="B15" s="8" t="n">
        <v>32000</v>
      </c>
      <c r="C15" s="8" t="n">
        <v>3900</v>
      </c>
    </row>
    <row r="16" customFormat="false" ht="15" hidden="false" customHeight="false" outlineLevel="0" collapsed="false">
      <c r="A16" s="3" t="s">
        <v>58</v>
      </c>
      <c r="B16" s="8" t="n">
        <v>27000</v>
      </c>
      <c r="C16" s="8" t="n">
        <v>3400</v>
      </c>
    </row>
    <row r="17" customFormat="false" ht="15" hidden="false" customHeight="false" outlineLevel="0" collapsed="false">
      <c r="A17" s="3" t="s">
        <v>59</v>
      </c>
      <c r="B17" s="8" t="n">
        <v>25000</v>
      </c>
      <c r="C17" s="8" t="n">
        <v>3200</v>
      </c>
    </row>
    <row r="18" customFormat="false" ht="15" hidden="false" customHeight="false" outlineLevel="0" collapsed="false">
      <c r="A18" s="3" t="s">
        <v>60</v>
      </c>
      <c r="B18" s="8" t="n">
        <v>35000</v>
      </c>
      <c r="C18" s="8" t="n">
        <v>4800</v>
      </c>
    </row>
    <row r="19" customFormat="false" ht="15" hidden="false" customHeight="false" outlineLevel="0" collapsed="false">
      <c r="A19" s="3" t="s">
        <v>61</v>
      </c>
      <c r="B19" s="8" t="n">
        <v>42000</v>
      </c>
      <c r="C19" s="8" t="n">
        <v>5400</v>
      </c>
    </row>
    <row r="20" customFormat="false" ht="15" hidden="false" customHeight="false" outlineLevel="0" collapsed="false">
      <c r="A20" s="3" t="s">
        <v>62</v>
      </c>
      <c r="B20" s="8" t="n">
        <v>48000</v>
      </c>
      <c r="C20" s="8" t="n">
        <v>5800</v>
      </c>
    </row>
    <row r="21" customFormat="false" ht="15" hidden="false" customHeight="false" outlineLevel="0" collapsed="false">
      <c r="A21" s="3" t="s">
        <v>63</v>
      </c>
      <c r="B21" s="8" t="n">
        <v>38000</v>
      </c>
      <c r="C21" s="8" t="n">
        <v>4600</v>
      </c>
    </row>
    <row r="22" customFormat="false" ht="15" hidden="false" customHeight="false" outlineLevel="0" collapsed="false">
      <c r="A22" s="3" t="s">
        <v>64</v>
      </c>
      <c r="B22" s="8" t="n">
        <v>50000</v>
      </c>
      <c r="C22" s="8" t="n">
        <v>5900</v>
      </c>
    </row>
    <row r="23" customFormat="false" ht="15" hidden="false" customHeight="false" outlineLevel="0" collapsed="false">
      <c r="A23" s="3" t="s">
        <v>65</v>
      </c>
      <c r="B23" s="8" t="n">
        <v>46000</v>
      </c>
      <c r="C23" s="8" t="n">
        <v>5500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</row>
    <row r="3" customFormat="false" ht="15" hidden="false" customHeight="false" outlineLevel="0" collapsed="false">
      <c r="A3" s="9" t="s">
        <v>67</v>
      </c>
      <c r="B3" s="9"/>
      <c r="C3" s="9"/>
    </row>
    <row r="4" customFormat="false" ht="15" hidden="false" customHeight="false" outlineLevel="0" collapsed="false">
      <c r="A4" s="2" t="s">
        <v>45</v>
      </c>
      <c r="B4" s="2" t="s">
        <v>68</v>
      </c>
      <c r="C4" s="2" t="s">
        <v>69</v>
      </c>
    </row>
    <row r="5" customFormat="false" ht="15" hidden="false" customHeight="false" outlineLevel="0" collapsed="false">
      <c r="A5" s="3" t="s">
        <v>46</v>
      </c>
      <c r="B5" s="4" t="n">
        <v>258</v>
      </c>
      <c r="C5" s="4"/>
    </row>
    <row r="6" customFormat="false" ht="15" hidden="false" customHeight="false" outlineLevel="0" collapsed="false">
      <c r="A6" s="3" t="s">
        <v>47</v>
      </c>
      <c r="B6" s="4" t="n">
        <v>502</v>
      </c>
      <c r="C6" s="10" t="n">
        <f aca="false">(B6-B5)/B5</f>
        <v>0.945736434108527</v>
      </c>
    </row>
    <row r="7" customFormat="false" ht="15" hidden="false" customHeight="false" outlineLevel="0" collapsed="false">
      <c r="A7" s="3" t="s">
        <v>48</v>
      </c>
      <c r="B7" s="4" t="n">
        <v>685</v>
      </c>
      <c r="C7" s="10" t="n">
        <f aca="false">(B7-B6)/B6</f>
        <v>0.364541832669323</v>
      </c>
    </row>
    <row r="8" customFormat="false" ht="15" hidden="false" customHeight="false" outlineLevel="0" collapsed="false">
      <c r="A8" s="3" t="s">
        <v>49</v>
      </c>
      <c r="B8" s="4" t="n">
        <v>569</v>
      </c>
      <c r="C8" s="10" t="n">
        <f aca="false">(B8-B7)/B7</f>
        <v>-0.169343065693431</v>
      </c>
    </row>
    <row r="9" customFormat="false" ht="15" hidden="false" customHeight="false" outlineLevel="0" collapsed="false">
      <c r="A9" s="3" t="s">
        <v>50</v>
      </c>
      <c r="B9" s="4" t="n">
        <v>455</v>
      </c>
      <c r="C9" s="10" t="n">
        <f aca="false">(B9-B8)/B8</f>
        <v>-0.200351493848858</v>
      </c>
    </row>
    <row r="10" customFormat="false" ht="15" hidden="false" customHeight="false" outlineLevel="0" collapsed="false">
      <c r="A10" s="3" t="s">
        <v>51</v>
      </c>
      <c r="B10" s="4" t="n">
        <v>511</v>
      </c>
      <c r="C10" s="10" t="n">
        <f aca="false">(B10-B9)/B9</f>
        <v>0.123076923076923</v>
      </c>
    </row>
    <row r="11" customFormat="false" ht="15" hidden="false" customHeight="false" outlineLevel="0" collapsed="false">
      <c r="A11" s="3" t="s">
        <v>52</v>
      </c>
      <c r="B11" s="4" t="n">
        <v>1313</v>
      </c>
      <c r="C11" s="10" t="n">
        <f aca="false">(B11-B10)/B10</f>
        <v>1.56947162426614</v>
      </c>
    </row>
    <row r="12" customFormat="false" ht="15" hidden="false" customHeight="false" outlineLevel="0" collapsed="false">
      <c r="A12" s="3" t="s">
        <v>53</v>
      </c>
      <c r="B12" s="4" t="n">
        <v>2157</v>
      </c>
      <c r="C12" s="10" t="n">
        <f aca="false">(B12-B11)/B11</f>
        <v>0.642802741812643</v>
      </c>
    </row>
    <row r="13" customFormat="false" ht="15" hidden="false" customHeight="false" outlineLevel="0" collapsed="false">
      <c r="A13" s="3" t="s">
        <v>54</v>
      </c>
      <c r="B13" s="4" t="n">
        <v>1228</v>
      </c>
      <c r="C13" s="10" t="n">
        <f aca="false">(B13-B12)/B12</f>
        <v>-0.430690774223459</v>
      </c>
    </row>
    <row r="14" customFormat="false" ht="15" hidden="false" customHeight="false" outlineLevel="0" collapsed="false">
      <c r="A14" s="3" t="s">
        <v>55</v>
      </c>
      <c r="B14" s="4" t="n">
        <v>1042</v>
      </c>
      <c r="C14" s="10" t="n">
        <f aca="false">(B14-B13)/B13</f>
        <v>-0.151465798045603</v>
      </c>
    </row>
    <row r="15" customFormat="false" ht="15" hidden="false" customHeight="false" outlineLevel="0" collapsed="false">
      <c r="A15" s="3" t="s">
        <v>56</v>
      </c>
      <c r="B15" s="4" t="n">
        <v>1255</v>
      </c>
      <c r="C15" s="10" t="n">
        <f aca="false">(B15-B14)/B14</f>
        <v>0.204414587332054</v>
      </c>
    </row>
    <row r="16" customFormat="false" ht="15" hidden="false" customHeight="false" outlineLevel="0" collapsed="false">
      <c r="A16" s="3" t="s">
        <v>57</v>
      </c>
      <c r="B16" s="4" t="n">
        <v>1975</v>
      </c>
      <c r="C16" s="10" t="n">
        <f aca="false">(B16-B15)/B15</f>
        <v>0.573705179282869</v>
      </c>
    </row>
    <row r="17" customFormat="false" ht="15" hidden="false" customHeight="false" outlineLevel="0" collapsed="false">
      <c r="A17" s="3" t="s">
        <v>58</v>
      </c>
      <c r="B17" s="4" t="n">
        <v>1123</v>
      </c>
      <c r="C17" s="10" t="n">
        <f aca="false">(B17-B16)/B16</f>
        <v>-0.431392405063291</v>
      </c>
    </row>
    <row r="18" customFormat="false" ht="15" hidden="false" customHeight="false" outlineLevel="0" collapsed="false">
      <c r="A18" s="3" t="s">
        <v>59</v>
      </c>
      <c r="B18" s="4" t="n">
        <v>1045</v>
      </c>
      <c r="C18" s="10" t="n">
        <f aca="false">(B18-B17)/B17</f>
        <v>-0.0694568121104185</v>
      </c>
    </row>
    <row r="19" customFormat="false" ht="15" hidden="false" customHeight="false" outlineLevel="0" collapsed="false">
      <c r="A19" s="3" t="s">
        <v>60</v>
      </c>
      <c r="B19" s="4" t="n">
        <v>1601</v>
      </c>
      <c r="C19" s="10" t="n">
        <f aca="false">(B19-B18)/B18</f>
        <v>0.532057416267943</v>
      </c>
    </row>
    <row r="20" customFormat="false" ht="15" hidden="false" customHeight="false" outlineLevel="0" collapsed="false">
      <c r="A20" s="3" t="s">
        <v>61</v>
      </c>
      <c r="B20" s="4" t="n">
        <v>1851</v>
      </c>
      <c r="C20" s="10" t="n">
        <f aca="false">(B20-B19)/B19</f>
        <v>0.156152404747033</v>
      </c>
    </row>
    <row r="21" customFormat="false" ht="15" hidden="false" customHeight="false" outlineLevel="0" collapsed="false">
      <c r="A21" s="3" t="s">
        <v>62</v>
      </c>
      <c r="B21" s="4" t="n">
        <v>2018</v>
      </c>
      <c r="C21" s="10" t="n">
        <f aca="false">(B21-B20)/B20</f>
        <v>0.0902215018908698</v>
      </c>
    </row>
    <row r="22" customFormat="false" ht="15" hidden="false" customHeight="false" outlineLevel="0" collapsed="false">
      <c r="A22" s="3" t="s">
        <v>63</v>
      </c>
      <c r="B22" s="4" t="n">
        <v>1620</v>
      </c>
      <c r="C22" s="10" t="n">
        <f aca="false">(B22-B21)/B21</f>
        <v>-0.197224975222993</v>
      </c>
    </row>
    <row r="23" customFormat="false" ht="15" hidden="false" customHeight="false" outlineLevel="0" collapsed="false">
      <c r="A23" s="3" t="s">
        <v>64</v>
      </c>
      <c r="B23" s="4" t="n">
        <v>3184</v>
      </c>
      <c r="C23" s="10" t="n">
        <f aca="false">(B23-B22)/B22</f>
        <v>0.965432098765432</v>
      </c>
    </row>
    <row r="24" customFormat="false" ht="15" hidden="false" customHeight="false" outlineLevel="0" collapsed="false">
      <c r="A24" s="3" t="s">
        <v>65</v>
      </c>
      <c r="B24" s="4" t="n">
        <v>3208</v>
      </c>
      <c r="C24" s="10" t="n">
        <f aca="false">(B24-B23)/B23</f>
        <v>0.00753768844221106</v>
      </c>
    </row>
    <row r="27" customFormat="false" ht="15" hidden="false" customHeight="false" outlineLevel="0" collapsed="false">
      <c r="A27" s="9" t="s">
        <v>70</v>
      </c>
      <c r="B27" s="9"/>
      <c r="C27" s="9"/>
    </row>
    <row r="28" customFormat="false" ht="15" hidden="false" customHeight="false" outlineLevel="0" collapsed="false">
      <c r="A28" s="2" t="s">
        <v>71</v>
      </c>
      <c r="B28" s="2" t="s">
        <v>72</v>
      </c>
      <c r="C28" s="2" t="s">
        <v>73</v>
      </c>
    </row>
    <row r="29" customFormat="false" ht="15" hidden="false" customHeight="false" outlineLevel="0" collapsed="false">
      <c r="A29" s="3" t="s">
        <v>74</v>
      </c>
      <c r="B29" s="4" t="n">
        <v>4723</v>
      </c>
      <c r="C29" s="5" t="n">
        <v>0.333639446171235</v>
      </c>
    </row>
    <row r="30" customFormat="false" ht="15" hidden="false" customHeight="false" outlineLevel="0" collapsed="false">
      <c r="A30" s="3" t="s">
        <v>75</v>
      </c>
      <c r="B30" s="4" t="n">
        <v>4400</v>
      </c>
      <c r="C30" s="5" t="n">
        <v>0.310822266176886</v>
      </c>
    </row>
    <row r="31" customFormat="false" ht="15" hidden="false" customHeight="false" outlineLevel="0" collapsed="false">
      <c r="A31" s="3" t="s">
        <v>22</v>
      </c>
      <c r="B31" s="4" t="n">
        <v>2071</v>
      </c>
      <c r="C31" s="5" t="n">
        <v>0.14629838937553</v>
      </c>
    </row>
    <row r="32" customFormat="false" ht="15" hidden="false" customHeight="false" outlineLevel="0" collapsed="false">
      <c r="A32" s="3" t="s">
        <v>23</v>
      </c>
      <c r="B32" s="4" t="n">
        <v>1614</v>
      </c>
      <c r="C32" s="5" t="n">
        <v>0.114015258547612</v>
      </c>
    </row>
    <row r="33" customFormat="false" ht="15" hidden="false" customHeight="false" outlineLevel="0" collapsed="false">
      <c r="A33" s="3" t="s">
        <v>21</v>
      </c>
      <c r="B33" s="4" t="n">
        <v>648</v>
      </c>
      <c r="C33" s="5" t="n">
        <v>0.0457756428369596</v>
      </c>
    </row>
    <row r="34" customFormat="false" ht="15" hidden="false" customHeight="false" outlineLevel="0" collapsed="false">
      <c r="A34" s="3" t="s">
        <v>76</v>
      </c>
      <c r="B34" s="4" t="n">
        <v>700</v>
      </c>
      <c r="C34" s="5" t="n">
        <v>0.0494489968917773</v>
      </c>
    </row>
  </sheetData>
  <mergeCells count="3">
    <mergeCell ref="A1:D1"/>
    <mergeCell ref="A3:C3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77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</row>
    <row r="4" customFormat="false" ht="15" hidden="false" customHeight="false" outlineLevel="0" collapsed="false">
      <c r="A4" s="3" t="s">
        <v>14</v>
      </c>
      <c r="B4" s="4" t="n">
        <v>804</v>
      </c>
      <c r="C4" s="5" t="n">
        <v>0.2</v>
      </c>
      <c r="D4" s="8" t="n">
        <v>30000</v>
      </c>
      <c r="E4" s="11" t="s">
        <v>83</v>
      </c>
      <c r="F4" s="4" t="s">
        <v>84</v>
      </c>
    </row>
    <row r="5" customFormat="false" ht="15" hidden="false" customHeight="false" outlineLevel="0" collapsed="false">
      <c r="A5" s="3" t="s">
        <v>12</v>
      </c>
      <c r="B5" s="4" t="n">
        <v>1084</v>
      </c>
      <c r="C5" s="5" t="n">
        <v>0.18</v>
      </c>
      <c r="D5" s="8" t="n">
        <v>16000</v>
      </c>
      <c r="E5" s="11" t="s">
        <v>83</v>
      </c>
      <c r="F5" s="4" t="s">
        <v>85</v>
      </c>
    </row>
    <row r="6" customFormat="false" ht="15" hidden="false" customHeight="false" outlineLevel="0" collapsed="false">
      <c r="A6" s="3" t="s">
        <v>18</v>
      </c>
      <c r="B6" s="4" t="n">
        <v>302</v>
      </c>
      <c r="C6" s="5" t="n">
        <v>0.18</v>
      </c>
      <c r="D6" s="8" t="n">
        <v>10000</v>
      </c>
      <c r="E6" s="12" t="s">
        <v>86</v>
      </c>
      <c r="F6" s="4" t="s">
        <v>87</v>
      </c>
    </row>
    <row r="7" customFormat="false" ht="15" hidden="false" customHeight="false" outlineLevel="0" collapsed="false">
      <c r="A7" s="3" t="s">
        <v>9</v>
      </c>
      <c r="B7" s="4" t="n">
        <v>1221</v>
      </c>
      <c r="C7" s="5" t="n">
        <v>0.12</v>
      </c>
      <c r="D7" s="8" t="n">
        <v>68000</v>
      </c>
      <c r="E7" s="13" t="s">
        <v>88</v>
      </c>
      <c r="F7" s="4" t="s">
        <v>89</v>
      </c>
    </row>
    <row r="8" customFormat="false" ht="15" hidden="false" customHeight="false" outlineLevel="0" collapsed="false">
      <c r="A8" s="3" t="s">
        <v>19</v>
      </c>
      <c r="B8" s="4" t="n">
        <v>118</v>
      </c>
      <c r="C8" s="5" t="n">
        <v>0.12</v>
      </c>
      <c r="D8" s="8" t="n">
        <v>6400</v>
      </c>
      <c r="E8" s="14" t="s">
        <v>90</v>
      </c>
      <c r="F8" s="4" t="s">
        <v>91</v>
      </c>
    </row>
    <row r="9" customFormat="false" ht="15" hidden="false" customHeight="false" outlineLevel="0" collapsed="false">
      <c r="A9" s="3" t="s">
        <v>15</v>
      </c>
      <c r="B9" s="4" t="n">
        <v>393</v>
      </c>
      <c r="C9" s="5" t="n">
        <v>0.11</v>
      </c>
      <c r="D9" s="8" t="n">
        <v>25000</v>
      </c>
      <c r="E9" s="13" t="s">
        <v>88</v>
      </c>
      <c r="F9" s="4" t="s">
        <v>92</v>
      </c>
    </row>
    <row r="10" customFormat="false" ht="15" hidden="false" customHeight="false" outlineLevel="0" collapsed="false">
      <c r="A10" s="3" t="s">
        <v>10</v>
      </c>
      <c r="B10" s="4" t="n">
        <v>954</v>
      </c>
      <c r="C10" s="5" t="n">
        <v>0.1</v>
      </c>
      <c r="D10" s="8" t="n">
        <v>63000</v>
      </c>
      <c r="E10" s="13" t="s">
        <v>88</v>
      </c>
      <c r="F10" s="4" t="s">
        <v>93</v>
      </c>
    </row>
    <row r="11" customFormat="false" ht="15" hidden="false" customHeight="false" outlineLevel="0" collapsed="false">
      <c r="A11" s="3" t="s">
        <v>16</v>
      </c>
      <c r="B11" s="4" t="n">
        <v>170</v>
      </c>
      <c r="C11" s="5" t="n">
        <v>0.1</v>
      </c>
      <c r="D11" s="8" t="n">
        <v>295000</v>
      </c>
      <c r="E11" s="15" t="s">
        <v>94</v>
      </c>
      <c r="F11" s="4" t="s">
        <v>95</v>
      </c>
    </row>
    <row r="12" customFormat="false" ht="15" hidden="false" customHeight="false" outlineLevel="0" collapsed="false">
      <c r="A12" s="3" t="s">
        <v>13</v>
      </c>
      <c r="B12" s="4" t="n">
        <v>471</v>
      </c>
      <c r="C12" s="5" t="n">
        <v>0.09</v>
      </c>
      <c r="D12" s="8" t="n">
        <v>32000</v>
      </c>
      <c r="E12" s="14" t="s">
        <v>96</v>
      </c>
      <c r="F12" s="4" t="s">
        <v>97</v>
      </c>
    </row>
    <row r="13" customFormat="false" ht="15" hidden="false" customHeight="false" outlineLevel="0" collapsed="false">
      <c r="A13" s="3" t="s">
        <v>17</v>
      </c>
      <c r="B13" s="4" t="n">
        <v>191</v>
      </c>
      <c r="C13" s="5" t="n">
        <v>0.09</v>
      </c>
      <c r="D13" s="8" t="n">
        <v>85000</v>
      </c>
      <c r="E13" s="12" t="s">
        <v>86</v>
      </c>
      <c r="F13" s="4" t="s">
        <v>98</v>
      </c>
    </row>
    <row r="14" customFormat="false" ht="15" hidden="false" customHeight="false" outlineLevel="0" collapsed="false">
      <c r="A14" s="3" t="s">
        <v>11</v>
      </c>
      <c r="B14" s="4" t="n">
        <v>159</v>
      </c>
      <c r="C14" s="5" t="n">
        <v>0.03</v>
      </c>
      <c r="D14" s="8" t="n">
        <v>92000</v>
      </c>
      <c r="E14" s="15" t="s">
        <v>94</v>
      </c>
      <c r="F14" s="4" t="s">
        <v>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100</v>
      </c>
      <c r="B1" s="1"/>
      <c r="C1" s="1"/>
      <c r="D1" s="1"/>
    </row>
    <row r="3" customFormat="false" ht="15" hidden="false" customHeight="false" outlineLevel="0" collapsed="false">
      <c r="A3" s="2" t="s">
        <v>30</v>
      </c>
      <c r="B3" s="2" t="s">
        <v>72</v>
      </c>
      <c r="C3" s="2" t="s">
        <v>101</v>
      </c>
      <c r="D3" s="2" t="s">
        <v>33</v>
      </c>
    </row>
    <row r="4" customFormat="false" ht="15" hidden="false" customHeight="false" outlineLevel="0" collapsed="false">
      <c r="A4" s="3" t="s">
        <v>102</v>
      </c>
      <c r="B4" s="4" t="n">
        <v>2214</v>
      </c>
      <c r="C4" s="4" t="n">
        <v>4497</v>
      </c>
      <c r="D4" s="7" t="n">
        <f aca="false">C4/B4</f>
        <v>2.03116531165312</v>
      </c>
    </row>
    <row r="5" customFormat="false" ht="15" hidden="false" customHeight="false" outlineLevel="0" collapsed="false">
      <c r="A5" s="3" t="s">
        <v>103</v>
      </c>
      <c r="B5" s="4" t="n">
        <v>1010</v>
      </c>
      <c r="C5" s="4" t="n">
        <v>1902</v>
      </c>
      <c r="D5" s="7" t="n">
        <f aca="false">C5/B5</f>
        <v>1.88316831683168</v>
      </c>
    </row>
    <row r="6" customFormat="false" ht="15" hidden="false" customHeight="false" outlineLevel="0" collapsed="false">
      <c r="A6" s="3" t="s">
        <v>104</v>
      </c>
      <c r="B6" s="4" t="n">
        <v>929</v>
      </c>
      <c r="C6" s="4" t="n">
        <v>1279</v>
      </c>
      <c r="D6" s="7" t="n">
        <f aca="false">C6/B6</f>
        <v>1.3767491926803</v>
      </c>
    </row>
    <row r="7" customFormat="false" ht="15" hidden="false" customHeight="false" outlineLevel="0" collapsed="false">
      <c r="A7" s="3" t="s">
        <v>105</v>
      </c>
      <c r="B7" s="4" t="n">
        <v>938</v>
      </c>
      <c r="C7" s="4" t="n">
        <v>1238</v>
      </c>
      <c r="D7" s="7" t="n">
        <f aca="false">C7/B7</f>
        <v>1.31982942430704</v>
      </c>
    </row>
    <row r="8" customFormat="false" ht="15" hidden="false" customHeight="false" outlineLevel="0" collapsed="false">
      <c r="A8" s="3" t="s">
        <v>106</v>
      </c>
      <c r="B8" s="4" t="n">
        <v>789</v>
      </c>
      <c r="C8" s="4" t="n">
        <v>1173</v>
      </c>
      <c r="D8" s="7" t="n">
        <f aca="false">C8/B8</f>
        <v>1.48669201520913</v>
      </c>
    </row>
    <row r="9" customFormat="false" ht="15" hidden="false" customHeight="false" outlineLevel="0" collapsed="false">
      <c r="A9" s="3" t="s">
        <v>107</v>
      </c>
      <c r="B9" s="4" t="n">
        <v>812</v>
      </c>
      <c r="C9" s="4" t="n">
        <v>1150</v>
      </c>
      <c r="D9" s="7" t="n">
        <f aca="false">C9/B9</f>
        <v>1.41625615763547</v>
      </c>
    </row>
    <row r="10" customFormat="false" ht="15" hidden="false" customHeight="false" outlineLevel="0" collapsed="false">
      <c r="A10" s="3" t="s">
        <v>108</v>
      </c>
      <c r="B10" s="4" t="n">
        <v>511</v>
      </c>
      <c r="C10" s="4" t="n">
        <v>991</v>
      </c>
      <c r="D10" s="7" t="n">
        <f aca="false">C10/B10</f>
        <v>1.93933463796478</v>
      </c>
    </row>
    <row r="11" customFormat="false" ht="15" hidden="false" customHeight="false" outlineLevel="0" collapsed="false">
      <c r="A11" s="3" t="s">
        <v>109</v>
      </c>
      <c r="B11" s="4" t="n">
        <v>569</v>
      </c>
      <c r="C11" s="4" t="n">
        <v>807</v>
      </c>
      <c r="D11" s="7" t="n">
        <f aca="false">C11/B11</f>
        <v>1.4182776801406</v>
      </c>
    </row>
    <row r="12" customFormat="false" ht="15" hidden="false" customHeight="false" outlineLevel="0" collapsed="false">
      <c r="A12" s="3" t="s">
        <v>110</v>
      </c>
      <c r="B12" s="4" t="n">
        <v>722</v>
      </c>
      <c r="C12" s="4" t="n">
        <v>790</v>
      </c>
      <c r="D12" s="7" t="n">
        <f aca="false">C12/B12</f>
        <v>1.09418282548476</v>
      </c>
    </row>
    <row r="13" customFormat="false" ht="15" hidden="false" customHeight="false" outlineLevel="0" collapsed="false">
      <c r="A13" s="3" t="s">
        <v>111</v>
      </c>
      <c r="B13" s="4" t="n">
        <v>387</v>
      </c>
      <c r="C13" s="4" t="n">
        <v>786</v>
      </c>
      <c r="D13" s="7" t="n">
        <f aca="false">C13/B13</f>
        <v>2.03100775193798</v>
      </c>
    </row>
    <row r="14" customFormat="false" ht="15" hidden="false" customHeight="false" outlineLevel="0" collapsed="false">
      <c r="A14" s="3" t="s">
        <v>112</v>
      </c>
      <c r="B14" s="4" t="n">
        <v>234</v>
      </c>
      <c r="C14" s="4" t="n">
        <v>708</v>
      </c>
      <c r="D14" s="7" t="n">
        <f aca="false">C14/B14</f>
        <v>3.02564102564103</v>
      </c>
    </row>
    <row r="15" customFormat="false" ht="15" hidden="false" customHeight="false" outlineLevel="0" collapsed="false">
      <c r="A15" s="3" t="s">
        <v>113</v>
      </c>
      <c r="B15" s="4" t="n">
        <v>438</v>
      </c>
      <c r="C15" s="4" t="n">
        <v>690</v>
      </c>
      <c r="D15" s="7" t="n">
        <f aca="false">C15/B15</f>
        <v>1.57534246575342</v>
      </c>
    </row>
    <row r="16" customFormat="false" ht="15" hidden="false" customHeight="false" outlineLevel="0" collapsed="false">
      <c r="A16" s="3" t="s">
        <v>114</v>
      </c>
      <c r="B16" s="4" t="n">
        <v>369</v>
      </c>
      <c r="C16" s="4" t="n">
        <v>672</v>
      </c>
      <c r="D16" s="7" t="n">
        <f aca="false">C16/B16</f>
        <v>1.82113821138211</v>
      </c>
    </row>
    <row r="17" customFormat="false" ht="15" hidden="false" customHeight="false" outlineLevel="0" collapsed="false">
      <c r="A17" s="3" t="s">
        <v>115</v>
      </c>
      <c r="B17" s="4" t="n">
        <v>348</v>
      </c>
      <c r="C17" s="4" t="n">
        <v>658</v>
      </c>
      <c r="D17" s="7" t="n">
        <f aca="false">C17/B17</f>
        <v>1.89080459770115</v>
      </c>
    </row>
    <row r="18" customFormat="false" ht="15" hidden="false" customHeight="false" outlineLevel="0" collapsed="false">
      <c r="A18" s="3" t="s">
        <v>116</v>
      </c>
      <c r="B18" s="4" t="n">
        <v>227</v>
      </c>
      <c r="C18" s="4" t="n">
        <v>578</v>
      </c>
      <c r="D18" s="7" t="n">
        <f aca="false">C18/B18</f>
        <v>2.54625550660793</v>
      </c>
    </row>
    <row r="19" customFormat="false" ht="15" hidden="false" customHeight="false" outlineLevel="0" collapsed="false">
      <c r="A19" s="3" t="s">
        <v>117</v>
      </c>
      <c r="B19" s="4" t="n">
        <v>282</v>
      </c>
      <c r="C19" s="4" t="n">
        <v>571</v>
      </c>
      <c r="D19" s="7" t="n">
        <f aca="false">C19/B19</f>
        <v>2.02482269503546</v>
      </c>
    </row>
    <row r="20" customFormat="false" ht="15" hidden="false" customHeight="false" outlineLevel="0" collapsed="false">
      <c r="A20" s="3" t="s">
        <v>118</v>
      </c>
      <c r="B20" s="4" t="n">
        <v>415</v>
      </c>
      <c r="C20" s="4" t="n">
        <v>520</v>
      </c>
      <c r="D20" s="7" t="n">
        <f aca="false">C20/B20</f>
        <v>1.25301204819277</v>
      </c>
    </row>
    <row r="21" customFormat="false" ht="15" hidden="false" customHeight="false" outlineLevel="0" collapsed="false">
      <c r="A21" s="3" t="s">
        <v>119</v>
      </c>
      <c r="B21" s="4" t="n">
        <v>247</v>
      </c>
      <c r="C21" s="4" t="n">
        <v>512</v>
      </c>
      <c r="D21" s="7" t="n">
        <f aca="false">C21/B21</f>
        <v>2.07287449392713</v>
      </c>
    </row>
    <row r="22" customFormat="false" ht="15" hidden="false" customHeight="false" outlineLevel="0" collapsed="false">
      <c r="A22" s="3" t="s">
        <v>120</v>
      </c>
      <c r="B22" s="4" t="n">
        <v>311</v>
      </c>
      <c r="C22" s="4" t="n">
        <v>469</v>
      </c>
      <c r="D22" s="7" t="n">
        <f aca="false">C22/B22</f>
        <v>1.508038585209</v>
      </c>
    </row>
    <row r="23" customFormat="false" ht="15" hidden="false" customHeight="false" outlineLevel="0" collapsed="false">
      <c r="A23" s="3" t="s">
        <v>121</v>
      </c>
      <c r="B23" s="4" t="n">
        <v>417</v>
      </c>
      <c r="C23" s="4" t="n">
        <v>462</v>
      </c>
      <c r="D23" s="7" t="n">
        <f aca="false">C23/B23</f>
        <v>1.10791366906475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2026-03-17T18:17:43Z</dcterms:created>
  <dc:creator>openpyxl</dc:creator>
  <dc:description/>
  <dc:language>en-US</dc:language>
  <cp:lastModifiedBy/>
  <dcterms:modified xsi:type="dcterms:W3CDTF">2026-03-17T18:17:43Z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