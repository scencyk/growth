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zegląd" sheetId="1" state="visible" r:id="rId3"/>
    <sheet name="Lekarze — statusy" sheetId="2" state="visible" r:id="rId4"/>
    <sheet name="Specjalizacje" sheetId="3" state="visible" r:id="rId5"/>
    <sheet name="tMAU scorec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<sst xmlns="http://schemas.openxmlformats.org/spreadsheetml/2006/main" count="174" uniqueCount="170">
  <si>
    <t xml:space="preserve">Remedium — Przegląd użytkowników (PostHog)</t>
  </si>
  <si>
    <t xml:space="preserve">Dane z PostHog, stan na 21 marca 2026. Źródło prawdy dla growth.</t>
  </si>
  <si>
    <t xml:space="preserve">Rola (PostHog)</t>
  </si>
  <si>
    <t xml:space="preserve">Baza (total)</t>
  </si>
  <si>
    <t xml:space="preserve">MAU (30d)</t>
  </si>
  <si>
    <t xml:space="preserve">MAU rate</t>
  </si>
  <si>
    <t xml:space="preserve">Opis</t>
  </si>
  <si>
    <t xml:space="preserve">doctor</t>
  </si>
  <si>
    <t xml:space="preserve">Lekarze (wszyscy statusy)</t>
  </si>
  <si>
    <t xml:space="preserve">student</t>
  </si>
  <si>
    <t xml:space="preserve">Studenci medycyny</t>
  </si>
  <si>
    <t xml:space="preserve">nurse</t>
  </si>
  <si>
    <t xml:space="preserve">Pielęgniarki/Pielęgniarze</t>
  </si>
  <si>
    <t xml:space="preserve">dentist</t>
  </si>
  <si>
    <t xml:space="preserve">Dentyści</t>
  </si>
  <si>
    <t xml:space="preserve">pharmacist</t>
  </si>
  <si>
    <t xml:space="preserve">Farmaceuci</t>
  </si>
  <si>
    <t xml:space="preserve">paramedic</t>
  </si>
  <si>
    <t xml:space="preserve">Ratownicy medyczni</t>
  </si>
  <si>
    <t xml:space="preserve">midwife</t>
  </si>
  <si>
    <t xml:space="preserve">Położne</t>
  </si>
  <si>
    <t xml:space="preserve">business</t>
  </si>
  <si>
    <t xml:space="preserve">Business</t>
  </si>
  <si>
    <t xml:space="preserve">laboratory_diagnostician</t>
  </si>
  <si>
    <t xml:space="preserve">Diagności laboratoryjni</t>
  </si>
  <si>
    <t xml:space="preserve">psychologist</t>
  </si>
  <si>
    <t xml:space="preserve">Psycholodzy</t>
  </si>
  <si>
    <t xml:space="preserve">physiotherapist</t>
  </si>
  <si>
    <t xml:space="preserve">Fizjoterapeuci</t>
  </si>
  <si>
    <t xml:space="preserve">dietician</t>
  </si>
  <si>
    <t xml:space="preserve">Dietetycy</t>
  </si>
  <si>
    <t xml:space="preserve">health_carer</t>
  </si>
  <si>
    <t xml:space="preserve">Opiekunowie medyczni</t>
  </si>
  <si>
    <t xml:space="preserve">public_health_graduate</t>
  </si>
  <si>
    <t xml:space="preserve">Absolwenci zdrowia publicznego</t>
  </si>
  <si>
    <t xml:space="preserve">Pozostałe role</t>
  </si>
  <si>
    <t xml:space="preserve">radiographer, common, backoffice, uncommon, inne</t>
  </si>
  <si>
    <t xml:space="preserve">RAZEM (wszystkie role)</t>
  </si>
  <si>
    <t xml:space="preserve">Lekarze (role=doctor) — rozbicie na statusy</t>
  </si>
  <si>
    <t xml:space="preserve">Status = etap kariery. PostHog property: status (EN values).</t>
  </si>
  <si>
    <t xml:space="preserve">Status (PostHog)</t>
  </si>
  <si>
    <t xml:space="preserve">Nazwa PL</t>
  </si>
  <si>
    <t xml:space="preserve">Baza</t>
  </si>
  <si>
    <t xml:space="preserve">without_specialization</t>
  </si>
  <si>
    <t xml:space="preserve">Lekarz bez specjalizacji</t>
  </si>
  <si>
    <t xml:space="preserve">specialist</t>
  </si>
  <si>
    <t xml:space="preserve">Specjalista</t>
  </si>
  <si>
    <t xml:space="preserve">resident</t>
  </si>
  <si>
    <t xml:space="preserve">Rezydent</t>
  </si>
  <si>
    <t xml:space="preserve">intern</t>
  </si>
  <si>
    <t xml:space="preserve">Stażysta</t>
  </si>
  <si>
    <t xml:space="preserve">null / inne</t>
  </si>
  <si>
    <t xml:space="preserve">Brak statusu</t>
  </si>
  <si>
    <t xml:space="preserve">RAZEM lekarzy</t>
  </si>
  <si>
    <t xml:space="preserve">Jakość danych specjalizacji</t>
  </si>
  <si>
    <t xml:space="preserve">Źródło specjalizacji</t>
  </si>
  <si>
    <t xml:space="preserve">Lekarze</t>
  </si>
  <si>
    <t xml:space="preserve">% z 44,085</t>
  </si>
  <si>
    <t xml:space="preserve">Komentarz</t>
  </si>
  <si>
    <t xml:space="preserve">Potwierdzona (specialization)</t>
  </si>
  <si>
    <t xml:space="preserve">Specjaliści z NIL-potwierdzoną spec.</t>
  </si>
  <si>
    <t xml:space="preserve">Otwarta (open_specialization)</t>
  </si>
  <si>
    <t xml:space="preserve">Rezydenci z deklaracją kierunku</t>
  </si>
  <si>
    <t xml:space="preserve">Sugerowana (suggestedSpecializations)</t>
  </si>
  <si>
    <t xml:space="preserve">Algorytmicznie przypisana</t>
  </si>
  <si>
    <t xml:space="preserve">Jakakolwiek (unikalni, deduplikacja)</t>
  </si>
  <si>
    <t xml:space="preserve">OR na 3 polach, unikalni</t>
  </si>
  <si>
    <t xml:space="preserve">Brak żadnej specjalizacji</t>
  </si>
  <si>
    <t xml:space="preserve">Puste wszystkie 3 pola</t>
  </si>
  <si>
    <t xml:space="preserve">Specjalizacje lekarzy — baza i MAU per specjalizacja</t>
  </si>
  <si>
    <t xml:space="preserve">Deduplikowane query: OR na specialization + open_specialization + suggestedSpecializations. Lekarz może mieć &gt;1 spec.</t>
  </si>
  <si>
    <t xml:space="preserve">Specjalizacja</t>
  </si>
  <si>
    <t xml:space="preserve">Slug (PostHog)</t>
  </si>
  <si>
    <t xml:space="preserve">Baza w Remedium</t>
  </si>
  <si>
    <t xml:space="preserve">Penetracja rynku</t>
  </si>
  <si>
    <t xml:space="preserve">Est. rynek PL (NIL)</t>
  </si>
  <si>
    <t xml:space="preserve">Choroby wewnętrzne</t>
  </si>
  <si>
    <t xml:space="preserve">choroby-wewnetrzne</t>
  </si>
  <si>
    <t xml:space="preserve">Medycyna rodzinna</t>
  </si>
  <si>
    <t xml:space="preserve">medycyna-rodzinna</t>
  </si>
  <si>
    <t xml:space="preserve">Pediatria</t>
  </si>
  <si>
    <t xml:space="preserve">pediatria</t>
  </si>
  <si>
    <t xml:space="preserve">Psychiatria</t>
  </si>
  <si>
    <t xml:space="preserve">psychiatria</t>
  </si>
  <si>
    <t xml:space="preserve">Anestezjologia i IT</t>
  </si>
  <si>
    <t xml:space="preserve">anestezjologia</t>
  </si>
  <si>
    <t xml:space="preserve">Kardiologia</t>
  </si>
  <si>
    <t xml:space="preserve">kardiologia</t>
  </si>
  <si>
    <t xml:space="preserve">Urologia</t>
  </si>
  <si>
    <t xml:space="preserve">urologia</t>
  </si>
  <si>
    <t xml:space="preserve">Ginekologia i położnictwo</t>
  </si>
  <si>
    <t xml:space="preserve">ginekologia</t>
  </si>
  <si>
    <t xml:space="preserve">Chirurgia ogólna</t>
  </si>
  <si>
    <t xml:space="preserve">chirurgia-ogolna</t>
  </si>
  <si>
    <t xml:space="preserve">Neurologia</t>
  </si>
  <si>
    <t xml:space="preserve">neurologia</t>
  </si>
  <si>
    <t xml:space="preserve">Radiologia</t>
  </si>
  <si>
    <t xml:space="preserve">radiologia</t>
  </si>
  <si>
    <t xml:space="preserve">Ortopedia i traumatologia</t>
  </si>
  <si>
    <t xml:space="preserve">ortopedia</t>
  </si>
  <si>
    <t xml:space="preserve">Okulistyka</t>
  </si>
  <si>
    <t xml:space="preserve">okulistyka</t>
  </si>
  <si>
    <t xml:space="preserve">Otorynolaryngologia</t>
  </si>
  <si>
    <t xml:space="preserve">otorynolaryngologia</t>
  </si>
  <si>
    <t xml:space="preserve">Choroby płuc (pulmonologia)</t>
  </si>
  <si>
    <t xml:space="preserve">choroby-pluc</t>
  </si>
  <si>
    <t xml:space="preserve">Dermatologia</t>
  </si>
  <si>
    <t xml:space="preserve">dermatologia</t>
  </si>
  <si>
    <t xml:space="preserve">Diabetologia</t>
  </si>
  <si>
    <t xml:space="preserve">diabetologia</t>
  </si>
  <si>
    <t xml:space="preserve">Endokrynologia</t>
  </si>
  <si>
    <t xml:space="preserve">endokrynologia</t>
  </si>
  <si>
    <t xml:space="preserve">Onkologia kliniczna</t>
  </si>
  <si>
    <t xml:space="preserve">onkologia</t>
  </si>
  <si>
    <t xml:space="preserve">Neonatologia</t>
  </si>
  <si>
    <t xml:space="preserve">neonatologia</t>
  </si>
  <si>
    <t xml:space="preserve">Nefrologia</t>
  </si>
  <si>
    <t xml:space="preserve">nefrologia</t>
  </si>
  <si>
    <t xml:space="preserve">Reumatologia</t>
  </si>
  <si>
    <t xml:space="preserve">reumatologia</t>
  </si>
  <si>
    <t xml:space="preserve">Medycyna ratunkowa</t>
  </si>
  <si>
    <t xml:space="preserve">medycyna-ratunkowa</t>
  </si>
  <si>
    <t xml:space="preserve">Gastroenterologia</t>
  </si>
  <si>
    <t xml:space="preserve">gastroenterologia</t>
  </si>
  <si>
    <t xml:space="preserve">Hematologia</t>
  </si>
  <si>
    <t xml:space="preserve">hematologia</t>
  </si>
  <si>
    <t xml:space="preserve">Rehabilitacja medyczna</t>
  </si>
  <si>
    <t xml:space="preserve">rehabilitacja</t>
  </si>
  <si>
    <t xml:space="preserve">Żółte wiersze = bottleneck specjalizacje (za mało lekarzy na kampanie pharma)</t>
  </si>
  <si>
    <t xml:space="preserve">tMAU — North Star Growth Scorecard</t>
  </si>
  <si>
    <t xml:space="preserve">tMAU = lekarze ze znaną specjalizacją, aktywni 30d. Baseline zmierzony w PostHog 21.03.2026.</t>
  </si>
  <si>
    <t xml:space="preserve">Składowe tMAU</t>
  </si>
  <si>
    <t xml:space="preserve">Składowa</t>
  </si>
  <si>
    <t xml:space="preserve">Wartość</t>
  </si>
  <si>
    <t xml:space="preserve">Definicja / komentarz</t>
  </si>
  <si>
    <t xml:space="preserve">A: Baza lekarzy (PostHog)</t>
  </si>
  <si>
    <t xml:space="preserve">role=doctor, unikalni w PostHog</t>
  </si>
  <si>
    <t xml:space="preserve">B: % ze znaną specjalizacją</t>
  </si>
  <si>
    <t xml:space="preserve">21,335 / 44,085 — confirmed + open + suggested</t>
  </si>
  <si>
    <t xml:space="preserve">C: MAU rate (wśród ze spec.)</t>
  </si>
  <si>
    <t xml:space="preserve">8,393 / 21,335 — aktywni 30d wśród tych ze spec.</t>
  </si>
  <si>
    <t xml:space="preserve">tMAU (zmierzony)</t>
  </si>
  <si>
    <t xml:space="preserve">Query HogQL: doctor + spec + event 30d</t>
  </si>
  <si>
    <t xml:space="preserve">tMAU (obliczony A×B×C)</t>
  </si>
  <si>
    <t xml:space="preserve">Powinno ≈ zmierzonym (weryfikacja)</t>
  </si>
  <si>
    <t xml:space="preserve">Cel kwartalny</t>
  </si>
  <si>
    <t xml:space="preserve">Metryka</t>
  </si>
  <si>
    <t xml:space="preserve">Baseline (mar 2026)</t>
  </si>
  <si>
    <t xml:space="preserve">Cel Q2 2026</t>
  </si>
  <si>
    <t xml:space="preserve">Cel Q4 2026</t>
  </si>
  <si>
    <t xml:space="preserve">Cel Q2 2027</t>
  </si>
  <si>
    <t xml:space="preserve">tMAU</t>
  </si>
  <si>
    <t xml:space="preserve">A: Baza lekarzy</t>
  </si>
  <si>
    <t xml:space="preserve">B: % ze specjalizacją</t>
  </si>
  <si>
    <t xml:space="preserve">C: MAU rate</t>
  </si>
  <si>
    <t xml:space="preserve">Activation Rate</t>
  </si>
  <si>
    <t xml:space="preserve">Do zmierzenia</t>
  </si>
  <si>
    <t xml:space="preserve">+10% vs baseline</t>
  </si>
  <si>
    <t xml:space="preserve">+20%</t>
  </si>
  <si>
    <t xml:space="preserve">+30%</t>
  </si>
  <si>
    <t xml:space="preserve">CFR</t>
  </si>
  <si>
    <t xml:space="preserve">~85%</t>
  </si>
  <si>
    <t xml:space="preserve">90%</t>
  </si>
  <si>
    <t xml:space="preserve">92%</t>
  </si>
  <si>
    <t xml:space="preserve">95%+</t>
  </si>
  <si>
    <t xml:space="preserve">Specjalizacje sprzedawalne</t>
  </si>
  <si>
    <t xml:space="preserve">5–6</t>
  </si>
  <si>
    <t xml:space="preserve">7–8</t>
  </si>
  <si>
    <t xml:space="preserve">9–10</t>
  </si>
  <si>
    <t xml:space="preserve">10+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</si>
</sst>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35F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2E35FF"/>
      <name val="Arial"/>
      <family val="0"/>
      <charset val="1"/>
    </font>
    <font>
      <i val="true"/>
      <sz val="10"/>
      <color rgb="FF92400E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35FF"/>
        <bgColor rgb="FF3366FF"/>
      </patternFill>
    </fill>
    <fill>
      <patternFill patternType="solid">
        <fgColor rgb="FFF0F1FF"/>
        <bgColor rgb="FFECFDF5"/>
      </patternFill>
    </fill>
    <fill>
      <patternFill patternType="solid">
        <fgColor rgb="FFFEF3C7"/>
        <bgColor rgb="FFFFFF99"/>
      </patternFill>
    </fill>
    <fill>
      <patternFill patternType="solid">
        <fgColor rgb="FFECFDF5"/>
        <bgColor rgb="FFF0F1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EF3C7"/>
      <rgbColor rgb="FFECFDF5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1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706"/>
      <rgbColor rgb="FF6B7280"/>
      <rgbColor rgb="FF969696"/>
      <rgbColor rgb="FF003366"/>
      <rgbColor rgb="FF339966"/>
      <rgbColor rgb="FF003300"/>
      <rgbColor rgb="FF333300"/>
      <rgbColor rgb="FF92400E"/>
      <rgbColor rgb="FF993366"/>
      <rgbColor rgb="FF2E35F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35FF"/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3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44085</v>
      </c>
      <c r="C5" s="5" t="n">
        <v>20627</v>
      </c>
      <c r="D5" s="6" t="n">
        <f aca="false">C5/B5</f>
        <v>0.467891573097425</v>
      </c>
      <c r="E5" s="4" t="s">
        <v>8</v>
      </c>
    </row>
    <row r="6" customFormat="false" ht="15" hidden="false" customHeight="false" outlineLevel="0" collapsed="false">
      <c r="A6" s="4" t="s">
        <v>9</v>
      </c>
      <c r="B6" s="5" t="n">
        <v>20083</v>
      </c>
      <c r="C6" s="5" t="n">
        <v>8990</v>
      </c>
      <c r="D6" s="6" t="n">
        <f aca="false">C6/B6</f>
        <v>0.447642284519245</v>
      </c>
      <c r="E6" s="4" t="s">
        <v>10</v>
      </c>
    </row>
    <row r="7" customFormat="false" ht="15" hidden="false" customHeight="false" outlineLevel="0" collapsed="false">
      <c r="A7" s="4" t="s">
        <v>11</v>
      </c>
      <c r="B7" s="5" t="n">
        <v>3058</v>
      </c>
      <c r="C7" s="5" t="n">
        <v>450</v>
      </c>
      <c r="D7" s="6" t="n">
        <f aca="false">C7/B7</f>
        <v>0.147155003270111</v>
      </c>
      <c r="E7" s="4" t="s">
        <v>12</v>
      </c>
    </row>
    <row r="8" customFormat="false" ht="15" hidden="false" customHeight="false" outlineLevel="0" collapsed="false">
      <c r="A8" s="4" t="s">
        <v>13</v>
      </c>
      <c r="B8" s="5" t="n">
        <v>2168</v>
      </c>
      <c r="C8" s="5" t="n">
        <v>458</v>
      </c>
      <c r="D8" s="6" t="n">
        <f aca="false">C8/B8</f>
        <v>0.211254612546125</v>
      </c>
      <c r="E8" s="4" t="s">
        <v>14</v>
      </c>
    </row>
    <row r="9" customFormat="false" ht="15" hidden="false" customHeight="false" outlineLevel="0" collapsed="false">
      <c r="A9" s="4" t="s">
        <v>15</v>
      </c>
      <c r="B9" s="5" t="n">
        <v>1609</v>
      </c>
      <c r="C9" s="5" t="n">
        <v>283</v>
      </c>
      <c r="D9" s="6" t="n">
        <f aca="false">C9/B9</f>
        <v>0.175885643256681</v>
      </c>
      <c r="E9" s="4" t="s">
        <v>16</v>
      </c>
    </row>
    <row r="10" customFormat="false" ht="15" hidden="false" customHeight="false" outlineLevel="0" collapsed="false">
      <c r="A10" s="4" t="s">
        <v>17</v>
      </c>
      <c r="B10" s="5" t="n">
        <v>505</v>
      </c>
      <c r="C10" s="5" t="n">
        <v>99</v>
      </c>
      <c r="D10" s="6" t="n">
        <f aca="false">C10/B10</f>
        <v>0.196039603960396</v>
      </c>
      <c r="E10" s="4" t="s">
        <v>18</v>
      </c>
    </row>
    <row r="11" customFormat="false" ht="15" hidden="false" customHeight="false" outlineLevel="0" collapsed="false">
      <c r="A11" s="4" t="s">
        <v>19</v>
      </c>
      <c r="B11" s="5" t="n">
        <v>383</v>
      </c>
      <c r="C11" s="5" t="n">
        <v>44</v>
      </c>
      <c r="D11" s="6" t="n">
        <f aca="false">C11/B11</f>
        <v>0.114882506527415</v>
      </c>
      <c r="E11" s="4" t="s">
        <v>20</v>
      </c>
    </row>
    <row r="12" customFormat="false" ht="15" hidden="false" customHeight="false" outlineLevel="0" collapsed="false">
      <c r="A12" s="4" t="s">
        <v>21</v>
      </c>
      <c r="B12" s="5" t="n">
        <v>364</v>
      </c>
      <c r="C12" s="5" t="n">
        <v>77</v>
      </c>
      <c r="D12" s="6" t="n">
        <f aca="false">C12/B12</f>
        <v>0.211538461538462</v>
      </c>
      <c r="E12" s="4" t="s">
        <v>22</v>
      </c>
    </row>
    <row r="13" customFormat="false" ht="15" hidden="false" customHeight="false" outlineLevel="0" collapsed="false">
      <c r="A13" s="4" t="s">
        <v>23</v>
      </c>
      <c r="B13" s="5" t="n">
        <v>325</v>
      </c>
      <c r="C13" s="5" t="n">
        <v>33</v>
      </c>
      <c r="D13" s="6" t="n">
        <f aca="false">C13/B13</f>
        <v>0.101538461538462</v>
      </c>
      <c r="E13" s="4" t="s">
        <v>24</v>
      </c>
    </row>
    <row r="14" customFormat="false" ht="15" hidden="false" customHeight="false" outlineLevel="0" collapsed="false">
      <c r="A14" s="4" t="s">
        <v>25</v>
      </c>
      <c r="B14" s="5" t="n">
        <v>294</v>
      </c>
      <c r="C14" s="5" t="n">
        <v>52</v>
      </c>
      <c r="D14" s="6" t="n">
        <f aca="false">C14/B14</f>
        <v>0.17687074829932</v>
      </c>
      <c r="E14" s="4" t="s">
        <v>26</v>
      </c>
    </row>
    <row r="15" customFormat="false" ht="15" hidden="false" customHeight="false" outlineLevel="0" collapsed="false">
      <c r="A15" s="4" t="s">
        <v>27</v>
      </c>
      <c r="B15" s="5" t="n">
        <v>252</v>
      </c>
      <c r="C15" s="5" t="n">
        <v>36</v>
      </c>
      <c r="D15" s="6" t="n">
        <f aca="false">C15/B15</f>
        <v>0.142857142857143</v>
      </c>
      <c r="E15" s="4" t="s">
        <v>28</v>
      </c>
    </row>
    <row r="16" customFormat="false" ht="15" hidden="false" customHeight="false" outlineLevel="0" collapsed="false">
      <c r="A16" s="4" t="s">
        <v>29</v>
      </c>
      <c r="B16" s="5" t="n">
        <v>179</v>
      </c>
      <c r="C16" s="5" t="n">
        <v>34</v>
      </c>
      <c r="D16" s="6" t="n">
        <f aca="false">C16/B16</f>
        <v>0.189944134078212</v>
      </c>
      <c r="E16" s="4" t="s">
        <v>30</v>
      </c>
    </row>
    <row r="17" customFormat="false" ht="15" hidden="false" customHeight="false" outlineLevel="0" collapsed="false">
      <c r="A17" s="4" t="s">
        <v>31</v>
      </c>
      <c r="B17" s="5" t="n">
        <v>172</v>
      </c>
      <c r="C17" s="5" t="n">
        <v>16</v>
      </c>
      <c r="D17" s="6" t="n">
        <f aca="false">C17/B17</f>
        <v>0.0930232558139535</v>
      </c>
      <c r="E17" s="4" t="s">
        <v>32</v>
      </c>
    </row>
    <row r="18" customFormat="false" ht="15" hidden="false" customHeight="false" outlineLevel="0" collapsed="false">
      <c r="A18" s="4" t="s">
        <v>33</v>
      </c>
      <c r="B18" s="5" t="n">
        <v>152</v>
      </c>
      <c r="C18" s="5" t="n">
        <v>25</v>
      </c>
      <c r="D18" s="6" t="n">
        <f aca="false">C18/B18</f>
        <v>0.164473684210526</v>
      </c>
      <c r="E18" s="4" t="s">
        <v>34</v>
      </c>
    </row>
    <row r="19" customFormat="false" ht="15" hidden="false" customHeight="false" outlineLevel="0" collapsed="false">
      <c r="A19" s="4" t="s">
        <v>35</v>
      </c>
      <c r="B19" s="5" t="n">
        <v>224</v>
      </c>
      <c r="C19" s="5" t="n">
        <v>72</v>
      </c>
      <c r="D19" s="6" t="n">
        <f aca="false">C19/B19</f>
        <v>0.321428571428571</v>
      </c>
      <c r="E19" s="4" t="s">
        <v>36</v>
      </c>
    </row>
    <row r="20" customFormat="false" ht="15" hidden="false" customHeight="false" outlineLevel="0" collapsed="false">
      <c r="A20" s="7" t="s">
        <v>37</v>
      </c>
      <c r="B20" s="8" t="n">
        <f aca="false">SUM(B5:B19)</f>
        <v>73853</v>
      </c>
      <c r="C20" s="8" t="n">
        <f aca="false">SUM(C5:C19)</f>
        <v>31296</v>
      </c>
      <c r="D20" s="9" t="n">
        <f aca="false">C20/B20</f>
        <v>0.423760713850487</v>
      </c>
      <c r="E20" s="7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4"/>
    <col collapsed="false" customWidth="true" hidden="false" outlineLevel="0" max="4" min="4" style="0" width="42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38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39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40</v>
      </c>
      <c r="B4" s="3" t="s">
        <v>41</v>
      </c>
      <c r="C4" s="3" t="s">
        <v>42</v>
      </c>
      <c r="D4" s="3" t="s">
        <v>4</v>
      </c>
      <c r="E4" s="3" t="s">
        <v>5</v>
      </c>
    </row>
    <row r="5" customFormat="false" ht="15" hidden="false" customHeight="false" outlineLevel="0" collapsed="false">
      <c r="A5" s="4" t="s">
        <v>43</v>
      </c>
      <c r="B5" s="4" t="s">
        <v>44</v>
      </c>
      <c r="C5" s="5" t="n">
        <v>18792</v>
      </c>
      <c r="D5" s="5" t="n">
        <v>10251</v>
      </c>
      <c r="E5" s="6" t="n">
        <f aca="false">D5/C5</f>
        <v>0.545498084291188</v>
      </c>
    </row>
    <row r="6" customFormat="false" ht="15" hidden="false" customHeight="false" outlineLevel="0" collapsed="false">
      <c r="A6" s="4" t="s">
        <v>45</v>
      </c>
      <c r="B6" s="4" t="s">
        <v>46</v>
      </c>
      <c r="C6" s="5" t="n">
        <v>11282</v>
      </c>
      <c r="D6" s="5" t="n">
        <v>3149</v>
      </c>
      <c r="E6" s="6" t="n">
        <f aca="false">D6/C6</f>
        <v>0.279117177805354</v>
      </c>
    </row>
    <row r="7" customFormat="false" ht="15" hidden="false" customHeight="false" outlineLevel="0" collapsed="false">
      <c r="A7" s="4" t="s">
        <v>47</v>
      </c>
      <c r="B7" s="4" t="s">
        <v>48</v>
      </c>
      <c r="C7" s="5" t="n">
        <v>8831</v>
      </c>
      <c r="D7" s="5" t="n">
        <v>4689</v>
      </c>
      <c r="E7" s="6" t="n">
        <f aca="false">D7/C7</f>
        <v>0.530970445023214</v>
      </c>
    </row>
    <row r="8" customFormat="false" ht="15" hidden="false" customHeight="false" outlineLevel="0" collapsed="false">
      <c r="A8" s="4" t="s">
        <v>49</v>
      </c>
      <c r="B8" s="4" t="s">
        <v>50</v>
      </c>
      <c r="C8" s="5" t="n">
        <v>4655</v>
      </c>
      <c r="D8" s="5" t="n">
        <v>2492</v>
      </c>
      <c r="E8" s="6" t="n">
        <f aca="false">D8/C8</f>
        <v>0.535338345864662</v>
      </c>
    </row>
    <row r="9" customFormat="false" ht="15" hidden="false" customHeight="false" outlineLevel="0" collapsed="false">
      <c r="A9" s="4" t="s">
        <v>51</v>
      </c>
      <c r="B9" s="4" t="s">
        <v>52</v>
      </c>
      <c r="C9" s="5" t="n">
        <v>525</v>
      </c>
      <c r="D9" s="5" t="n">
        <v>46</v>
      </c>
      <c r="E9" s="6" t="n">
        <f aca="false">D9/C9</f>
        <v>0.0876190476190476</v>
      </c>
    </row>
    <row r="10" customFormat="false" ht="15" hidden="false" customHeight="false" outlineLevel="0" collapsed="false">
      <c r="A10" s="7" t="s">
        <v>53</v>
      </c>
      <c r="B10" s="7"/>
      <c r="C10" s="8" t="n">
        <f aca="false">SUM(C5:C9)</f>
        <v>44085</v>
      </c>
      <c r="D10" s="8" t="n">
        <f aca="false">SUM(D5:D9)</f>
        <v>20627</v>
      </c>
      <c r="E10" s="9" t="n">
        <f aca="false">D10/C10</f>
        <v>0.467891573097425</v>
      </c>
    </row>
    <row r="12" customFormat="false" ht="15" hidden="false" customHeight="false" outlineLevel="0" collapsed="false">
      <c r="A12" s="10" t="s">
        <v>54</v>
      </c>
    </row>
    <row r="13" customFormat="false" ht="15" hidden="false" customHeight="false" outlineLevel="0" collapsed="false">
      <c r="A13" s="3" t="s">
        <v>55</v>
      </c>
      <c r="B13" s="3" t="s">
        <v>56</v>
      </c>
      <c r="C13" s="3" t="s">
        <v>57</v>
      </c>
      <c r="D13" s="3" t="s">
        <v>58</v>
      </c>
    </row>
    <row r="14" customFormat="false" ht="15" hidden="false" customHeight="false" outlineLevel="0" collapsed="false">
      <c r="A14" s="4" t="s">
        <v>59</v>
      </c>
      <c r="B14" s="5" t="n">
        <v>11024</v>
      </c>
      <c r="C14" s="6" t="n">
        <f aca="false">B14/44085</f>
        <v>0.250062379494159</v>
      </c>
      <c r="D14" s="4" t="s">
        <v>60</v>
      </c>
    </row>
    <row r="15" customFormat="false" ht="15" hidden="false" customHeight="false" outlineLevel="0" collapsed="false">
      <c r="A15" s="4" t="s">
        <v>61</v>
      </c>
      <c r="B15" s="5" t="n">
        <v>9484</v>
      </c>
      <c r="C15" s="6" t="n">
        <f aca="false">B15/44085</f>
        <v>0.215129862765113</v>
      </c>
      <c r="D15" s="4" t="s">
        <v>62</v>
      </c>
    </row>
    <row r="16" customFormat="false" ht="15" hidden="false" customHeight="false" outlineLevel="0" collapsed="false">
      <c r="A16" s="4" t="s">
        <v>63</v>
      </c>
      <c r="B16" s="5" t="n">
        <v>1507</v>
      </c>
      <c r="C16" s="6" t="n">
        <f aca="false">B16/44085</f>
        <v>0.034183962799138</v>
      </c>
      <c r="D16" s="4" t="s">
        <v>64</v>
      </c>
    </row>
    <row r="17" customFormat="false" ht="15" hidden="false" customHeight="false" outlineLevel="0" collapsed="false">
      <c r="A17" s="4" t="s">
        <v>65</v>
      </c>
      <c r="B17" s="5" t="n">
        <v>21335</v>
      </c>
      <c r="C17" s="6" t="n">
        <f aca="false">B17/44085</f>
        <v>0.483951457411818</v>
      </c>
      <c r="D17" s="4" t="s">
        <v>66</v>
      </c>
    </row>
    <row r="18" customFormat="false" ht="15" hidden="false" customHeight="false" outlineLevel="0" collapsed="false">
      <c r="A18" s="4" t="s">
        <v>67</v>
      </c>
      <c r="B18" s="5" t="n">
        <v>22750</v>
      </c>
      <c r="C18" s="6" t="n">
        <f aca="false">B18/44085</f>
        <v>0.516048542588182</v>
      </c>
      <c r="D18" s="4" t="s">
        <v>68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7706"/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69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70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3" t="s">
        <v>71</v>
      </c>
      <c r="B4" s="3" t="s">
        <v>72</v>
      </c>
      <c r="C4" s="3" t="s">
        <v>73</v>
      </c>
      <c r="D4" s="3" t="s">
        <v>4</v>
      </c>
      <c r="E4" s="3" t="s">
        <v>5</v>
      </c>
      <c r="F4" s="3" t="s">
        <v>74</v>
      </c>
      <c r="G4" s="3" t="s">
        <v>75</v>
      </c>
    </row>
    <row r="5" customFormat="false" ht="15" hidden="false" customHeight="false" outlineLevel="0" collapsed="false">
      <c r="A5" s="4" t="s">
        <v>76</v>
      </c>
      <c r="B5" s="4" t="s">
        <v>77</v>
      </c>
      <c r="C5" s="5" t="n">
        <v>4085</v>
      </c>
      <c r="D5" s="5" t="n">
        <v>1690</v>
      </c>
      <c r="E5" s="6" t="n">
        <f aca="false">D5/C5</f>
        <v>0.413708690330477</v>
      </c>
      <c r="F5" s="6" t="n">
        <f aca="false">C5/G5</f>
        <v>0.179694716931333</v>
      </c>
      <c r="G5" s="5" t="n">
        <v>22733</v>
      </c>
    </row>
    <row r="6" customFormat="false" ht="15" hidden="false" customHeight="false" outlineLevel="0" collapsed="false">
      <c r="A6" s="4" t="s">
        <v>78</v>
      </c>
      <c r="B6" s="4" t="s">
        <v>79</v>
      </c>
      <c r="C6" s="5" t="n">
        <v>3822</v>
      </c>
      <c r="D6" s="5" t="n">
        <v>1807</v>
      </c>
      <c r="E6" s="6" t="n">
        <f aca="false">D6/C6</f>
        <v>0.472789115646259</v>
      </c>
      <c r="F6" s="6" t="n">
        <f aca="false">C6/G6</f>
        <v>0.336829117828501</v>
      </c>
      <c r="G6" s="5" t="n">
        <v>11347</v>
      </c>
    </row>
    <row r="7" customFormat="false" ht="15" hidden="false" customHeight="false" outlineLevel="0" collapsed="false">
      <c r="A7" s="4" t="s">
        <v>80</v>
      </c>
      <c r="B7" s="4" t="s">
        <v>81</v>
      </c>
      <c r="C7" s="5" t="n">
        <v>2767</v>
      </c>
      <c r="D7" s="5" t="n">
        <v>899</v>
      </c>
      <c r="E7" s="6" t="n">
        <f aca="false">D7/C7</f>
        <v>0.324900614383809</v>
      </c>
      <c r="F7" s="6" t="n">
        <f aca="false">C7/G7</f>
        <v>0.348972127632741</v>
      </c>
      <c r="G7" s="5" t="n">
        <v>7929</v>
      </c>
    </row>
    <row r="8" customFormat="false" ht="15" hidden="false" customHeight="false" outlineLevel="0" collapsed="false">
      <c r="A8" s="11" t="s">
        <v>82</v>
      </c>
      <c r="B8" s="11" t="s">
        <v>83</v>
      </c>
      <c r="C8" s="12" t="n">
        <v>1318</v>
      </c>
      <c r="D8" s="12" t="n">
        <v>551</v>
      </c>
      <c r="E8" s="13" t="n">
        <f aca="false">D8/C8</f>
        <v>0.418057663125948</v>
      </c>
      <c r="F8" s="13" t="n">
        <f aca="false">C8/G8</f>
        <v>0.23705035971223</v>
      </c>
      <c r="G8" s="12" t="n">
        <v>5560</v>
      </c>
    </row>
    <row r="9" customFormat="false" ht="15" hidden="false" customHeight="false" outlineLevel="0" collapsed="false">
      <c r="A9" s="4" t="s">
        <v>84</v>
      </c>
      <c r="B9" s="4" t="s">
        <v>85</v>
      </c>
      <c r="C9" s="5" t="n">
        <v>1249</v>
      </c>
      <c r="D9" s="5" t="n">
        <v>473</v>
      </c>
      <c r="E9" s="6" t="n">
        <f aca="false">D9/C9</f>
        <v>0.378702962369896</v>
      </c>
      <c r="F9" s="6" t="n">
        <f aca="false">C9/G9</f>
        <v>0.198885350318471</v>
      </c>
      <c r="G9" s="5" t="n">
        <v>6280</v>
      </c>
    </row>
    <row r="10" customFormat="false" ht="15" hidden="false" customHeight="false" outlineLevel="0" collapsed="false">
      <c r="A10" s="4" t="s">
        <v>86</v>
      </c>
      <c r="B10" s="4" t="s">
        <v>87</v>
      </c>
      <c r="C10" s="5" t="n">
        <v>1201</v>
      </c>
      <c r="D10" s="5" t="n">
        <v>501</v>
      </c>
      <c r="E10" s="6" t="n">
        <f aca="false">D10/C10</f>
        <v>0.417152373022481</v>
      </c>
      <c r="F10" s="6" t="n">
        <f aca="false">C10/G10</f>
        <v>0.345114942528736</v>
      </c>
      <c r="G10" s="5" t="n">
        <v>3480</v>
      </c>
    </row>
    <row r="11" customFormat="false" ht="15" hidden="false" customHeight="false" outlineLevel="0" collapsed="false">
      <c r="A11" s="4" t="s">
        <v>88</v>
      </c>
      <c r="B11" s="4" t="s">
        <v>89</v>
      </c>
      <c r="C11" s="5" t="n">
        <v>1169</v>
      </c>
      <c r="D11" s="5" t="n">
        <v>437</v>
      </c>
      <c r="E11" s="6" t="n">
        <f aca="false">D11/C11</f>
        <v>0.37382378100941</v>
      </c>
      <c r="F11" s="6" t="n">
        <f aca="false">C11/G11</f>
        <v>0.612683438155136</v>
      </c>
      <c r="G11" s="5" t="n">
        <v>1908</v>
      </c>
    </row>
    <row r="12" customFormat="false" ht="15" hidden="false" customHeight="false" outlineLevel="0" collapsed="false">
      <c r="A12" s="4" t="s">
        <v>90</v>
      </c>
      <c r="B12" s="4" t="s">
        <v>91</v>
      </c>
      <c r="C12" s="5" t="n">
        <v>1095</v>
      </c>
      <c r="D12" s="5" t="n">
        <v>328</v>
      </c>
      <c r="E12" s="6" t="n">
        <f aca="false">D12/C12</f>
        <v>0.299543378995434</v>
      </c>
      <c r="F12" s="6" t="n">
        <f aca="false">C12/G12</f>
        <v>0.150681161414614</v>
      </c>
      <c r="G12" s="5" t="n">
        <v>7267</v>
      </c>
    </row>
    <row r="13" customFormat="false" ht="15" hidden="false" customHeight="false" outlineLevel="0" collapsed="false">
      <c r="A13" s="4" t="s">
        <v>92</v>
      </c>
      <c r="B13" s="4" t="s">
        <v>93</v>
      </c>
      <c r="C13" s="5" t="n">
        <v>947</v>
      </c>
      <c r="D13" s="5" t="n">
        <v>298</v>
      </c>
      <c r="E13" s="6" t="n">
        <f aca="false">D13/C13</f>
        <v>0.31467793030623</v>
      </c>
      <c r="F13" s="6" t="n">
        <f aca="false">C13/G13</f>
        <v>0.167610619469027</v>
      </c>
      <c r="G13" s="5" t="n">
        <v>5650</v>
      </c>
    </row>
    <row r="14" customFormat="false" ht="15" hidden="false" customHeight="false" outlineLevel="0" collapsed="false">
      <c r="A14" s="4" t="s">
        <v>94</v>
      </c>
      <c r="B14" s="4" t="s">
        <v>95</v>
      </c>
      <c r="C14" s="5" t="n">
        <v>897</v>
      </c>
      <c r="D14" s="5" t="n">
        <v>342</v>
      </c>
      <c r="E14" s="6" t="n">
        <f aca="false">D14/C14</f>
        <v>0.381270903010033</v>
      </c>
      <c r="F14" s="6" t="n">
        <f aca="false">C14/G14</f>
        <v>0.24375</v>
      </c>
      <c r="G14" s="5" t="n">
        <v>3680</v>
      </c>
    </row>
    <row r="15" customFormat="false" ht="15" hidden="false" customHeight="false" outlineLevel="0" collapsed="false">
      <c r="A15" s="4" t="s">
        <v>96</v>
      </c>
      <c r="B15" s="4" t="s">
        <v>97</v>
      </c>
      <c r="C15" s="5" t="n">
        <v>695</v>
      </c>
      <c r="D15" s="5" t="n">
        <v>211</v>
      </c>
      <c r="E15" s="6" t="n">
        <f aca="false">D15/C15</f>
        <v>0.303597122302158</v>
      </c>
      <c r="F15" s="6" t="n">
        <f aca="false">C15/G15</f>
        <v>0.21583850931677</v>
      </c>
      <c r="G15" s="5" t="n">
        <v>3220</v>
      </c>
    </row>
    <row r="16" customFormat="false" ht="15" hidden="false" customHeight="false" outlineLevel="0" collapsed="false">
      <c r="A16" s="4" t="s">
        <v>98</v>
      </c>
      <c r="B16" s="4" t="s">
        <v>99</v>
      </c>
      <c r="C16" s="5" t="n">
        <v>603</v>
      </c>
      <c r="D16" s="5" t="n">
        <v>177</v>
      </c>
      <c r="E16" s="6" t="n">
        <f aca="false">D16/C16</f>
        <v>0.293532338308458</v>
      </c>
      <c r="F16" s="6" t="n">
        <f aca="false">C16/G16</f>
        <v>0.197704918032787</v>
      </c>
      <c r="G16" s="5" t="n">
        <v>3050</v>
      </c>
    </row>
    <row r="17" customFormat="false" ht="15" hidden="false" customHeight="false" outlineLevel="0" collapsed="false">
      <c r="A17" s="4" t="s">
        <v>100</v>
      </c>
      <c r="B17" s="4" t="s">
        <v>101</v>
      </c>
      <c r="C17" s="5" t="n">
        <v>439</v>
      </c>
      <c r="D17" s="5" t="n">
        <v>127</v>
      </c>
      <c r="E17" s="6" t="n">
        <f aca="false">D17/C17</f>
        <v>0.289293849658314</v>
      </c>
      <c r="F17" s="6" t="n">
        <f aca="false">C17/G17</f>
        <v>0.151903114186851</v>
      </c>
      <c r="G17" s="5" t="n">
        <v>2890</v>
      </c>
    </row>
    <row r="18" customFormat="false" ht="15" hidden="false" customHeight="false" outlineLevel="0" collapsed="false">
      <c r="A18" s="4" t="s">
        <v>102</v>
      </c>
      <c r="B18" s="4" t="s">
        <v>103</v>
      </c>
      <c r="C18" s="5" t="n">
        <v>385</v>
      </c>
      <c r="D18" s="5" t="n">
        <v>127</v>
      </c>
      <c r="E18" s="6" t="n">
        <f aca="false">D18/C18</f>
        <v>0.32987012987013</v>
      </c>
      <c r="F18" s="6" t="n">
        <f aca="false">C18/G18</f>
        <v>0.229166666666667</v>
      </c>
      <c r="G18" s="5" t="n">
        <v>1680</v>
      </c>
    </row>
    <row r="19" customFormat="false" ht="15" hidden="false" customHeight="false" outlineLevel="0" collapsed="false">
      <c r="A19" s="11" t="s">
        <v>104</v>
      </c>
      <c r="B19" s="11" t="s">
        <v>105</v>
      </c>
      <c r="C19" s="12" t="n">
        <v>360</v>
      </c>
      <c r="D19" s="12" t="n">
        <v>152</v>
      </c>
      <c r="E19" s="13" t="n">
        <f aca="false">D19/C19</f>
        <v>0.422222222222222</v>
      </c>
      <c r="F19" s="13" t="n">
        <f aca="false">C19/G19</f>
        <v>0.169014084507042</v>
      </c>
      <c r="G19" s="12" t="n">
        <v>2130</v>
      </c>
    </row>
    <row r="20" customFormat="false" ht="15" hidden="false" customHeight="false" outlineLevel="0" collapsed="false">
      <c r="A20" s="4" t="s">
        <v>106</v>
      </c>
      <c r="B20" s="4" t="s">
        <v>107</v>
      </c>
      <c r="C20" s="5" t="n">
        <v>344</v>
      </c>
      <c r="D20" s="5" t="n">
        <v>122</v>
      </c>
      <c r="E20" s="6" t="n">
        <f aca="false">D20/C20</f>
        <v>0.354651162790698</v>
      </c>
      <c r="F20" s="6" t="n">
        <f aca="false">C20/G20</f>
        <v>0.16</v>
      </c>
      <c r="G20" s="5" t="n">
        <v>2150</v>
      </c>
    </row>
    <row r="21" customFormat="false" ht="15" hidden="false" customHeight="false" outlineLevel="0" collapsed="false">
      <c r="A21" s="4" t="s">
        <v>108</v>
      </c>
      <c r="B21" s="4" t="s">
        <v>109</v>
      </c>
      <c r="C21" s="5" t="n">
        <v>337</v>
      </c>
      <c r="D21" s="5" t="n">
        <v>155</v>
      </c>
      <c r="E21" s="6" t="n">
        <f aca="false">D21/C21</f>
        <v>0.459940652818991</v>
      </c>
      <c r="F21" s="6" t="n">
        <f aca="false">C21/G21</f>
        <v>0.116608996539792</v>
      </c>
      <c r="G21" s="5" t="n">
        <v>2890</v>
      </c>
    </row>
    <row r="22" customFormat="false" ht="15" hidden="false" customHeight="false" outlineLevel="0" collapsed="false">
      <c r="A22" s="4" t="s">
        <v>110</v>
      </c>
      <c r="B22" s="4" t="s">
        <v>111</v>
      </c>
      <c r="C22" s="5" t="n">
        <v>323</v>
      </c>
      <c r="D22" s="5" t="n">
        <v>132</v>
      </c>
      <c r="E22" s="6" t="n">
        <f aca="false">D22/C22</f>
        <v>0.408668730650155</v>
      </c>
      <c r="F22" s="6" t="n">
        <f aca="false">C22/G22</f>
        <v>0.13862660944206</v>
      </c>
      <c r="G22" s="5" t="n">
        <v>2330</v>
      </c>
    </row>
    <row r="23" customFormat="false" ht="15" hidden="false" customHeight="false" outlineLevel="0" collapsed="false">
      <c r="A23" s="4" t="s">
        <v>112</v>
      </c>
      <c r="B23" s="4" t="s">
        <v>113</v>
      </c>
      <c r="C23" s="5" t="n">
        <v>299</v>
      </c>
      <c r="D23" s="5" t="n">
        <v>114</v>
      </c>
      <c r="E23" s="6" t="n">
        <f aca="false">D23/C23</f>
        <v>0.381270903010033</v>
      </c>
      <c r="F23" s="6" t="n">
        <f aca="false">C23/G23</f>
        <v>0.107168458781362</v>
      </c>
      <c r="G23" s="5" t="n">
        <v>2790</v>
      </c>
    </row>
    <row r="24" customFormat="false" ht="15" hidden="false" customHeight="false" outlineLevel="0" collapsed="false">
      <c r="A24" s="4" t="s">
        <v>114</v>
      </c>
      <c r="B24" s="4" t="s">
        <v>115</v>
      </c>
      <c r="C24" s="5" t="n">
        <v>292</v>
      </c>
      <c r="D24" s="5" t="n">
        <v>89</v>
      </c>
      <c r="E24" s="6" t="n">
        <f aca="false">D24/C24</f>
        <v>0.304794520547945</v>
      </c>
      <c r="F24" s="6" t="n">
        <f aca="false">C24/G24</f>
        <v>0.172781065088757</v>
      </c>
      <c r="G24" s="5" t="n">
        <v>1690</v>
      </c>
    </row>
    <row r="25" customFormat="false" ht="15" hidden="false" customHeight="false" outlineLevel="0" collapsed="false">
      <c r="A25" s="11" t="s">
        <v>116</v>
      </c>
      <c r="B25" s="11" t="s">
        <v>117</v>
      </c>
      <c r="C25" s="12" t="n">
        <v>253</v>
      </c>
      <c r="D25" s="12" t="n">
        <v>97</v>
      </c>
      <c r="E25" s="13" t="n">
        <f aca="false">D25/C25</f>
        <v>0.383399209486166</v>
      </c>
      <c r="F25" s="13" t="n">
        <f aca="false">C25/G25</f>
        <v>0.190225563909774</v>
      </c>
      <c r="G25" s="12" t="n">
        <v>1330</v>
      </c>
    </row>
    <row r="26" customFormat="false" ht="15" hidden="false" customHeight="false" outlineLevel="0" collapsed="false">
      <c r="A26" s="11" t="s">
        <v>118</v>
      </c>
      <c r="B26" s="11" t="s">
        <v>119</v>
      </c>
      <c r="C26" s="12" t="n">
        <v>238</v>
      </c>
      <c r="D26" s="12" t="n">
        <v>90</v>
      </c>
      <c r="E26" s="13" t="n">
        <f aca="false">D26/C26</f>
        <v>0.378151260504202</v>
      </c>
      <c r="F26" s="13" t="n">
        <f aca="false">C26/G26</f>
        <v>0.17</v>
      </c>
      <c r="G26" s="12" t="n">
        <v>1400</v>
      </c>
    </row>
    <row r="27" customFormat="false" ht="15" hidden="false" customHeight="false" outlineLevel="0" collapsed="false">
      <c r="A27" s="4" t="s">
        <v>120</v>
      </c>
      <c r="B27" s="4" t="s">
        <v>121</v>
      </c>
      <c r="C27" s="5" t="n">
        <v>227</v>
      </c>
      <c r="D27" s="5" t="n">
        <v>89</v>
      </c>
      <c r="E27" s="6" t="n">
        <f aca="false">D27/C27</f>
        <v>0.392070484581498</v>
      </c>
      <c r="F27" s="6" t="n">
        <f aca="false">C27/G27</f>
        <v>0.0641242937853107</v>
      </c>
      <c r="G27" s="5" t="n">
        <v>3540</v>
      </c>
    </row>
    <row r="28" customFormat="false" ht="15" hidden="false" customHeight="false" outlineLevel="0" collapsed="false">
      <c r="A28" s="11" t="s">
        <v>122</v>
      </c>
      <c r="B28" s="11" t="s">
        <v>123</v>
      </c>
      <c r="C28" s="12" t="n">
        <v>208</v>
      </c>
      <c r="D28" s="12" t="n">
        <v>82</v>
      </c>
      <c r="E28" s="13" t="n">
        <f aca="false">D28/C28</f>
        <v>0.394230769230769</v>
      </c>
      <c r="F28" s="13" t="n">
        <f aca="false">C28/G28</f>
        <v>0.184070796460177</v>
      </c>
      <c r="G28" s="12" t="n">
        <v>1130</v>
      </c>
    </row>
    <row r="29" customFormat="false" ht="15" hidden="false" customHeight="false" outlineLevel="0" collapsed="false">
      <c r="A29" s="4" t="s">
        <v>124</v>
      </c>
      <c r="B29" s="4" t="s">
        <v>125</v>
      </c>
      <c r="C29" s="5" t="n">
        <v>173</v>
      </c>
      <c r="D29" s="5" t="n">
        <v>72</v>
      </c>
      <c r="E29" s="6" t="n">
        <f aca="false">D29/C29</f>
        <v>0.416184971098266</v>
      </c>
      <c r="F29" s="6" t="n">
        <f aca="false">C29/G29</f>
        <v>0.180208333333333</v>
      </c>
      <c r="G29" s="5" t="n">
        <v>960</v>
      </c>
    </row>
    <row r="30" customFormat="false" ht="15" hidden="false" customHeight="false" outlineLevel="0" collapsed="false">
      <c r="A30" s="4" t="s">
        <v>126</v>
      </c>
      <c r="B30" s="4" t="s">
        <v>127</v>
      </c>
      <c r="C30" s="5" t="n">
        <v>196</v>
      </c>
      <c r="D30" s="5" t="n">
        <v>62</v>
      </c>
      <c r="E30" s="6" t="n">
        <f aca="false">D30/C30</f>
        <v>0.316326530612245</v>
      </c>
      <c r="F30" s="6" t="n">
        <f aca="false">C30/G30</f>
        <v>0.0911627906976744</v>
      </c>
      <c r="G30" s="5" t="n">
        <v>2150</v>
      </c>
    </row>
    <row r="32" customFormat="false" ht="15" hidden="false" customHeight="false" outlineLevel="0" collapsed="false">
      <c r="A32" s="14" t="s">
        <v>128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5" min="3" style="0" width="18"/>
  </cols>
  <sheetData>
    <row r="1" customFormat="false" ht="17.35" hidden="false" customHeight="false" outlineLevel="0" collapsed="false">
      <c r="A1" s="1" t="s">
        <v>129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130</v>
      </c>
      <c r="B2" s="2"/>
      <c r="C2" s="2"/>
      <c r="D2" s="2"/>
      <c r="E2" s="2"/>
    </row>
    <row r="4" customFormat="false" ht="15" hidden="false" customHeight="false" outlineLevel="0" collapsed="false">
      <c r="A4" s="10" t="s">
        <v>131</v>
      </c>
    </row>
    <row r="5" customFormat="false" ht="26.85" hidden="false" customHeight="false" outlineLevel="0" collapsed="false">
      <c r="A5" s="3" t="s">
        <v>132</v>
      </c>
      <c r="B5" s="3" t="s">
        <v>133</v>
      </c>
      <c r="C5" s="3" t="s">
        <v>134</v>
      </c>
    </row>
    <row r="6" customFormat="false" ht="15" hidden="false" customHeight="false" outlineLevel="0" collapsed="false">
      <c r="A6" s="4" t="s">
        <v>135</v>
      </c>
      <c r="B6" s="4" t="n">
        <v>44085</v>
      </c>
      <c r="C6" s="4" t="s">
        <v>136</v>
      </c>
    </row>
    <row r="7" customFormat="false" ht="15" hidden="false" customHeight="false" outlineLevel="0" collapsed="false">
      <c r="A7" s="4" t="s">
        <v>137</v>
      </c>
      <c r="B7" s="6" t="n">
        <v>0.484</v>
      </c>
      <c r="C7" s="4" t="s">
        <v>138</v>
      </c>
    </row>
    <row r="8" customFormat="false" ht="15" hidden="false" customHeight="false" outlineLevel="0" collapsed="false">
      <c r="A8" s="4" t="s">
        <v>139</v>
      </c>
      <c r="B8" s="6" t="n">
        <v>0.393</v>
      </c>
      <c r="C8" s="4" t="s">
        <v>140</v>
      </c>
    </row>
    <row r="9" customFormat="false" ht="15" hidden="false" customHeight="false" outlineLevel="0" collapsed="false">
      <c r="A9" s="4" t="s">
        <v>141</v>
      </c>
      <c r="B9" s="5" t="n">
        <v>8393</v>
      </c>
      <c r="C9" s="4" t="s">
        <v>142</v>
      </c>
    </row>
    <row r="10" customFormat="false" ht="15" hidden="false" customHeight="false" outlineLevel="0" collapsed="false">
      <c r="A10" s="4" t="s">
        <v>143</v>
      </c>
      <c r="B10" s="5" t="n">
        <f aca="false">B6*B7*B8</f>
        <v>8385.49602</v>
      </c>
      <c r="C10" s="4" t="s">
        <v>144</v>
      </c>
    </row>
    <row r="12" customFormat="false" ht="15" hidden="false" customHeight="false" outlineLevel="0" collapsed="false">
      <c r="A12" s="10" t="s">
        <v>145</v>
      </c>
    </row>
    <row r="13" customFormat="false" ht="26.85" hidden="false" customHeight="false" outlineLevel="0" collapsed="false">
      <c r="A13" s="3" t="s">
        <v>146</v>
      </c>
      <c r="B13" s="3" t="s">
        <v>147</v>
      </c>
      <c r="C13" s="3" t="s">
        <v>148</v>
      </c>
      <c r="D13" s="3" t="s">
        <v>149</v>
      </c>
      <c r="E13" s="3" t="s">
        <v>150</v>
      </c>
    </row>
    <row r="14" customFormat="false" ht="15" hidden="false" customHeight="false" outlineLevel="0" collapsed="false">
      <c r="A14" s="15" t="s">
        <v>151</v>
      </c>
      <c r="B14" s="16" t="n">
        <f aca="false">B15*B16*B17</f>
        <v>8385.49602</v>
      </c>
      <c r="C14" s="16" t="n">
        <f aca="false">C15*C16*C17</f>
        <v>10879</v>
      </c>
      <c r="D14" s="16" t="n">
        <f aca="false">D15*D16*D17</f>
        <v>14582.4</v>
      </c>
      <c r="E14" s="16" t="n">
        <f aca="false">E15*E16*E17</f>
        <v>18387.2</v>
      </c>
    </row>
    <row r="15" customFormat="false" ht="15" hidden="false" customHeight="false" outlineLevel="0" collapsed="false">
      <c r="A15" s="4" t="s">
        <v>152</v>
      </c>
      <c r="B15" s="5" t="n">
        <v>44085</v>
      </c>
      <c r="C15" s="5" t="n">
        <v>46000</v>
      </c>
      <c r="D15" s="5" t="n">
        <v>49000</v>
      </c>
      <c r="E15" s="5" t="n">
        <v>52000</v>
      </c>
    </row>
    <row r="16" customFormat="false" ht="15" hidden="false" customHeight="false" outlineLevel="0" collapsed="false">
      <c r="A16" s="4" t="s">
        <v>153</v>
      </c>
      <c r="B16" s="6" t="n">
        <v>0.484</v>
      </c>
      <c r="C16" s="6" t="n">
        <v>0.55</v>
      </c>
      <c r="D16" s="6" t="n">
        <v>0.62</v>
      </c>
      <c r="E16" s="6" t="n">
        <v>0.68</v>
      </c>
    </row>
    <row r="17" customFormat="false" ht="15" hidden="false" customHeight="false" outlineLevel="0" collapsed="false">
      <c r="A17" s="4" t="s">
        <v>154</v>
      </c>
      <c r="B17" s="6" t="n">
        <v>0.393</v>
      </c>
      <c r="C17" s="6" t="n">
        <v>0.43</v>
      </c>
      <c r="D17" s="6" t="n">
        <v>0.48</v>
      </c>
      <c r="E17" s="6" t="n">
        <v>0.52</v>
      </c>
    </row>
    <row r="18" customFormat="false" ht="15" hidden="false" customHeight="false" outlineLevel="0" collapsed="false">
      <c r="A18" s="4" t="s">
        <v>155</v>
      </c>
      <c r="B18" s="4" t="s">
        <v>156</v>
      </c>
      <c r="C18" s="4" t="s">
        <v>157</v>
      </c>
      <c r="D18" s="4" t="s">
        <v>158</v>
      </c>
      <c r="E18" s="4" t="s">
        <v>159</v>
      </c>
    </row>
    <row r="19" customFormat="false" ht="15" hidden="false" customHeight="false" outlineLevel="0" collapsed="false">
      <c r="A19" s="4" t="s">
        <v>160</v>
      </c>
      <c r="B19" s="4" t="s">
        <v>161</v>
      </c>
      <c r="C19" s="4" t="s">
        <v>162</v>
      </c>
      <c r="D19" s="4" t="s">
        <v>163</v>
      </c>
      <c r="E19" s="4" t="s">
        <v>164</v>
      </c>
    </row>
    <row r="20" customFormat="false" ht="15" hidden="false" customHeight="false" outlineLevel="0" collapsed="false">
      <c r="A20" s="4" t="s">
        <v>165</v>
      </c>
      <c r="B20" s="4" t="s">
        <v>166</v>
      </c>
      <c r="C20" s="4" t="s">
        <v>167</v>
      </c>
      <c r="D20" s="4" t="s">
        <v>168</v>
      </c>
      <c r="E20" s="4" t="s">
        <v>169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2026-03-21T11:25:59Z</dcterms:created>
  <dc:creator>openpyxl</dc:creator>
  <dc:description/>
  <dc:language>en-US</dc:language>
  <cp:lastModifiedBy/>
  <dcterms:modified xsi:type="dcterms:W3CDTF">2026-03-21T11:25:59Z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