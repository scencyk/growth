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YNTEZA" sheetId="1" r:id="rId5"/>
    <sheet state="visible" name="Live" sheetId="2" r:id="rId6"/>
    <sheet state="visible" name="Konferencje-vod" sheetId="3" r:id="rId7"/>
    <sheet state="visible" name="Infekcje" sheetId="4" r:id="rId8"/>
    <sheet state="visible" name="Psychiatria" sheetId="5" r:id="rId9"/>
    <sheet state="visible" name="Gastrologia" sheetId="6" r:id="rId10"/>
    <sheet state="visible" name="Kardiologia" sheetId="7" r:id="rId11"/>
    <sheet state="visible" name="Dermatologia" sheetId="8" r:id="rId12"/>
    <sheet state="visible" name="Pediatria" sheetId="9" r:id="rId13"/>
    <sheet state="visible" name="Diabetologia" sheetId="10" r:id="rId14"/>
    <sheet state="visible" name="SwP- Pediatria" sheetId="11" r:id="rId15"/>
  </sheets>
  <definedNames>
    <definedName hidden="1" localSheetId="1" name="_xlnm._FilterDatabase">Live!$A$1:$AK$121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13">
      <text>
        <t xml:space="preserve">pozyskanie 800 zarejestrowanych lekarzy na konferencję</t>
      </text>
    </comment>
    <comment authorId="0" ref="K116">
      <text>
        <t xml:space="preserve">pozyskanie 700 zarejestrowanych lekarzy na konferencję</t>
      </text>
    </comment>
  </commentList>
</comments>
</file>

<file path=xl/sharedStrings.xml><?xml version="1.0" encoding="utf-8"?>
<sst xmlns="http://schemas.openxmlformats.org/spreadsheetml/2006/main" count="1364" uniqueCount="599">
  <si>
    <t>Konferencja PKwPOZ - 2024/2025</t>
  </si>
  <si>
    <t>Podsumowanie oglądalności</t>
  </si>
  <si>
    <t>Infekcje, szczepienia, antybiotykoterapia</t>
  </si>
  <si>
    <t>Psychiatria, neurologia i ból</t>
  </si>
  <si>
    <t>Dermatologia i reumatologia</t>
  </si>
  <si>
    <t>Gastroenterologia</t>
  </si>
  <si>
    <t>Kardiologia</t>
  </si>
  <si>
    <t>Pediatria</t>
  </si>
  <si>
    <t>Data wydarzenia</t>
  </si>
  <si>
    <t>Liczba zarejestrowanych</t>
  </si>
  <si>
    <t>Liczba użytkowników live</t>
  </si>
  <si>
    <t>Show up rate</t>
  </si>
  <si>
    <t>Liczba użytkowników vod</t>
  </si>
  <si>
    <t>Współoglądalność [live i vod]</t>
  </si>
  <si>
    <t>Liczba użytkowników zarejestrowanych, którzy byli tylko na VOD</t>
  </si>
  <si>
    <t>Liczba użytkowników zarejestrowanych, którzy byli zarówno Live jaki i  VOD</t>
  </si>
  <si>
    <t>Zapisali się a nie byli ani na live ani na vod</t>
  </si>
  <si>
    <t>Data statystyk</t>
  </si>
  <si>
    <t>Nazwa konferencji</t>
  </si>
  <si>
    <t>Czas trwania [min]</t>
  </si>
  <si>
    <t>śr. czas uczestnictwa [min]</t>
  </si>
  <si>
    <t>%</t>
  </si>
  <si>
    <t>średnie</t>
  </si>
  <si>
    <t>Dane archiwalne</t>
  </si>
  <si>
    <t>Konferencje Pierwsze Kroki w POZ - liczba użytkowników</t>
  </si>
  <si>
    <t>Nazwa</t>
  </si>
  <si>
    <t>Live</t>
  </si>
  <si>
    <t>Zapis</t>
  </si>
  <si>
    <t>kardiologia I 2022</t>
  </si>
  <si>
    <t>kardiologia II 2023</t>
  </si>
  <si>
    <t>dermatologia i reumatologia 2023</t>
  </si>
  <si>
    <t>gastroenterologia 2023</t>
  </si>
  <si>
    <t>Infekcje 2024</t>
  </si>
  <si>
    <t>Uwagi</t>
  </si>
  <si>
    <t>gastroenterologia</t>
  </si>
  <si>
    <t>dermatologia i reumatologia</t>
  </si>
  <si>
    <t>kardiologia</t>
  </si>
  <si>
    <t>średnia z 2. wydarzeń</t>
  </si>
  <si>
    <t>Obszar</t>
  </si>
  <si>
    <t>Tytuł</t>
  </si>
  <si>
    <t xml:space="preserve">Data emisji </t>
  </si>
  <si>
    <t>Rok</t>
  </si>
  <si>
    <t>Miesiąc</t>
  </si>
  <si>
    <t>Rodzaj</t>
  </si>
  <si>
    <t>Link do zadania</t>
  </si>
  <si>
    <t>Media plan</t>
  </si>
  <si>
    <t>KPI live</t>
  </si>
  <si>
    <t>KPI na zapis</t>
  </si>
  <si>
    <t>Status</t>
  </si>
  <si>
    <t>Budżet</t>
  </si>
  <si>
    <t>liczba zapisanych</t>
  </si>
  <si>
    <t>% realizacji</t>
  </si>
  <si>
    <t>liczba uczestników</t>
  </si>
  <si>
    <t>% show up rate</t>
  </si>
  <si>
    <t>Czas trwania [min.]</t>
  </si>
  <si>
    <t>Śr. czas uczestnictwa</t>
  </si>
  <si>
    <t>% uczestnictwa</t>
  </si>
  <si>
    <t>UU</t>
  </si>
  <si>
    <t>% uczestnictwa na końcowym wykladzie</t>
  </si>
  <si>
    <t>link</t>
  </si>
  <si>
    <t>Data stats</t>
  </si>
  <si>
    <t>PM odpowiedzialny</t>
  </si>
  <si>
    <t>Odpowiedzialność Cywilna lekarza i lekarza dentysty w trakcie stażu podyplomowego</t>
  </si>
  <si>
    <t>Webinar remedium</t>
  </si>
  <si>
    <t>Zrealizowane</t>
  </si>
  <si>
    <t>https://www.bigmarker.com/remedium/Odpowiedzialno-Cywilna-lekarza-i-lekarza-dentysty-w-trakcie-sta-u-podyplomowego-62d58f1f8077803698fbb208/promote_manage#</t>
  </si>
  <si>
    <t>Ciąże zagrożone - jak postępować?</t>
  </si>
  <si>
    <t>Ginekologia</t>
  </si>
  <si>
    <t>https://www.bigmarker.com/remedium/Ci-e-zagro-one-jak-post-powa/promote_manage#</t>
  </si>
  <si>
    <t>Konferencja “Pierwsze kroki w POZ - kardiologia i diabetologia”</t>
  </si>
  <si>
    <t>Konferencja</t>
  </si>
  <si>
    <t>POZ</t>
  </si>
  <si>
    <t>https://www.bigmarker.com/remedium/Konferencja-Pierwsze-kroki-w-POZ-kardiologia-i-diabetologia/promote_manage#</t>
  </si>
  <si>
    <t>Szczepozależność w praktyce: jak dobrać probiotyk zgodnie z wytycznymi ESPGHAN i uzyskać oczekiwane efekty lecznicze?</t>
  </si>
  <si>
    <t>Webinar sponsorowany</t>
  </si>
  <si>
    <t>https://www.bigmarker.com/remedium/Bayer-Academy/promote_manage#</t>
  </si>
  <si>
    <t>Postępowanie lekarza przed sądem - wszystko, co musisz wiedzieć jako świadek, podejrzany lub pozwany</t>
  </si>
  <si>
    <t>https://www.bigmarker.com/remedium/Post-powanie-lekarza-przed-s-dem-wszystko-co-musisz-wiedzie-jako-wiadek-podejrzany-lub-pozwany-bbf75afbe23458b10056ceeb/promote_manage#</t>
  </si>
  <si>
    <t>Modyfikacje mikrobioty u pacjenta z IBS – wybór czy konieczność?</t>
  </si>
  <si>
    <t>https://www.bigmarker.com/remedium/Modyfikacje-mikrobioty-u-pacjenta-z-IBS-wyb-r-czy-konieczno/promote_manage#</t>
  </si>
  <si>
    <t>Tajemnica lekarska i prawne możliwości jej uchylenia</t>
  </si>
  <si>
    <t>https://www.bigmarker.com/remedium/Tajemnica-lekarska-i-prawne-mo-liwo-ci-jej-uchylenia/promote_manage#</t>
  </si>
  <si>
    <t>5 najczęstszych błędów RODO popełnianych przez lekarzy. Jak uniknąć kar finansowych UODO i postępowań sądowych?</t>
  </si>
  <si>
    <t>https://www.bigmarker.com/remedium/5-najcz-stszych-b-d-w-RODO-pope-nianych-przez-lekarzy-Jak-unikn-kar-finansowych-UODO-i-post-powa-s-dowych/promote_manage#</t>
  </si>
  <si>
    <t>Opieka koordynowana w ramach POZ - jak wykorzystać jej możliwości w leczeniu pacjentów z zaburzeniami rytmu serca?</t>
  </si>
  <si>
    <t>https://www.bigmarker.com/remedium/Opieka-koordynowana-w-ramach-POZ-jak-wykorzysta-jej-mo-liwo-ci-w-leczeniu-pacjent-w-z-zaburzeniami-rytmu-serca/promote_manage#</t>
  </si>
  <si>
    <t>Co po dyplomie? Rekrutacja i przebieg stażu od A do Z</t>
  </si>
  <si>
    <t>https://www.bigmarker.com/remedium/Co-po-dyplomie-Rekrutacja-i-przebieg-sta-u-od-A-do-Z/promote_manage#</t>
  </si>
  <si>
    <t>Nadmierna senność - zasady diagnostyki i leczenia</t>
  </si>
  <si>
    <t>https://www.bigmarker.com/remedium/Nadmierna-senno-zasady-diagnostyki-i-leczenia/promote_manage#</t>
  </si>
  <si>
    <t>Jak czytać paski wynagrodzeń i sprawdzić swoje wynagrodzenie? Podstawowe zasady naliczania wynagrodzeń w ochronie zdrowia</t>
  </si>
  <si>
    <t>https://www.bigmarker.com/remedium/Jak-czyta-paski-wynagrodze-i-sprawdzi-swoje-wynagrodzenie-Podstawowe-zasady-naliczania-wynagrodze-w-ochronie-zdrowia/promote_manage#</t>
  </si>
  <si>
    <t>Lekarz w samolocie - zadania i obowiązki w nagłych przypadkach</t>
  </si>
  <si>
    <t>https://www.bigmarker.com/remedium/Lekarz-w-samolocie-zadania-i-obowi-zki-w-nag-ych-przypadkach/promote_manage#</t>
  </si>
  <si>
    <t>Trójkąt Bermudzki systemu ochrony zdrowia. Czy dobra współpraca pomiędzy POZ, SOR, a oddziałem jest możliwa?</t>
  </si>
  <si>
    <t>https://www.bigmarker.com/remedium/Tr-jk-t-Bermudzki-systemu-ochrony-zdrowia-Czy-dobra-wsp-praca-pomi-dzy-POZ-SOR-a-oddzia-em-jest-mo-liwa/promote_manage#</t>
  </si>
  <si>
    <t>Jak dochodzić swoich praw w starciu z nieuczciwym pracodawcą?</t>
  </si>
  <si>
    <t>https://www.bigmarker.com/remedium/Jak-dochodzi-swoich-praw-w-starciu-z-nieuczciwym-pracodawc/promote_manage#</t>
  </si>
  <si>
    <t>Lekarz podczas kontroli - wszystko, co musisz wiedzieć po wezwaniu przez ZUS, NFZ lub OIL</t>
  </si>
  <si>
    <t>https://www.bigmarker.com/remedium/Lekarz-podczas-kontroli-wszystko-co-musisz-wiedzie-po-wezwaniu-przez-ZUS-NFZ-lub-OIL/promote_manage#</t>
  </si>
  <si>
    <t>Konferencja "Pierwsze kroki w POZ - dermatologia i reumatologia"</t>
  </si>
  <si>
    <t>https://www.bigmarker.com/remedium/Konferencja-Pierwsze-kroki-w-POZ-dermatologia-i-reumatologia/promote_manage#</t>
  </si>
  <si>
    <t>Problematyka stwierdzania i dokumentacji zgonów - Q&amp;A</t>
  </si>
  <si>
    <t>https://www.bigmarker.com/remedium/Problematyka-stwierdzania-i-dokumentacji-zgon-w-Q-A/promote_manage#</t>
  </si>
  <si>
    <t>Nowoczesne strategie immunologiczne w zwalczaniu przewlekłych i nawracających infekcji dróg oddechowych</t>
  </si>
  <si>
    <t>https://www.bigmarker.com/remedium/Nowoczesne-strategie-immunologiczne-w-zwalczaniu-przewlek-ych-i-nawracaj-cych-infekcji-dr-g-oddechowych/promote_manage#</t>
  </si>
  <si>
    <t>Kiedy mózg mówi "jeść"?</t>
  </si>
  <si>
    <t>https://www.bigmarker.com/remedium/Kiedy-m-zg-m-wi-je/promote_manage#</t>
  </si>
  <si>
    <t>Zatrzymać ZUM, czyli jak postępują urolodzy?</t>
  </si>
  <si>
    <t>https://www.bigmarker.com/remedium/Zatrzyma-ZUM-czyli-jak-post-puj-urolodzy/promote_manage#</t>
  </si>
  <si>
    <t>65 plus? A może minus? Jak szczepić dorosłych przeciw pneumokokom?</t>
  </si>
  <si>
    <t>https://www.bigmarker.com/remedium/65-plus-A-mo-e-minus-Jak-szczepi-doros-ych-przeciw-pneumokokom/promote_manage#</t>
  </si>
  <si>
    <t>Antykoncepcja od podstaw - cz.I</t>
  </si>
  <si>
    <t>https://www.bigmarker.com/remedium/Antykoncepcja-od-podstaw-cz-I/promote_manage#</t>
  </si>
  <si>
    <t>Antykoncepcja od podstaw - cz.II</t>
  </si>
  <si>
    <t>https://www.bigmarker.com/remedium/Antykoncepcja-od-podstaw-cz-II/promote_manage#</t>
  </si>
  <si>
    <t>Infekcje nosa i zatok – czy antybiotyk jest zawsze potrzebny?</t>
  </si>
  <si>
    <t>https://www.bigmarker.com/remedium/Infekcje-nosa-i-zatok-czy-antybiotyk-jest-zawsze-potrzebny/promote_manage#</t>
  </si>
  <si>
    <t>Diagnostyka i leczenie infekcji górnych dróg oddechowych</t>
  </si>
  <si>
    <t>https://www.bigmarker.com/remedium/Diagnostyka-i-leczenie-infekcji-g-rnych-dr-g-oddechowych/promote_manage#</t>
  </si>
  <si>
    <t>Leki S i DZ – jak wypisać, by się nie pomylić?</t>
  </si>
  <si>
    <t>https://www.bigmarker.com/remedium/Leki-S-i-DZ-jak-wypisa-by-si-nie-pomyli/promote_manage#</t>
  </si>
  <si>
    <t>Pacjent z nowo rozpoznaną astmą</t>
  </si>
  <si>
    <t>https://www.bigmarker.com/remedium/Pacjent-z-nowo-rozpoznan-astm-241fddbe376107f9765411fe/promote_manage#</t>
  </si>
  <si>
    <t>Konferencja "Pierwsze kroki w POZ - gastroenterologia"</t>
  </si>
  <si>
    <t>https://www.bigmarker.com/remedium/Konferencja-Pierwsze-kroki-w-POZ-gastroenterologia/promote_manage#</t>
  </si>
  <si>
    <t>Biocenoza pochwy – dlaczego tak niewiele o niej wiemy?</t>
  </si>
  <si>
    <t>https://www.bigmarker.com/remedium/Biocenoza-pochwy-dlaczego-tak-niewiele-o-niej-wiemy/promote_manage#</t>
  </si>
  <si>
    <t>Konferencja "Pierwsze kroki w POZ - kardiologia i diabetologia"</t>
  </si>
  <si>
    <t>https://www.bigmarker.com/remedium/Konferencja-Pierwsze-kroki-w-POZ-kardiologia-i-diabetologia-d8509e1ea435d9b2fb8a5484/promote_manage#</t>
  </si>
  <si>
    <t>Pacjent z astmą niekontrolowaną</t>
  </si>
  <si>
    <t>https://www.bigmarker.com/remedium/Pacjent-z-astm-niekontrolowan/promote_manage#</t>
  </si>
  <si>
    <t>Pacjent współpracujący i zmotywowany – jak to się robi?</t>
  </si>
  <si>
    <t>https://www.bigmarker.com/remedium/Pacjent-wsp-pracuj-cy-i-zmotywowany-jak-to-si-robi/promote_manage#</t>
  </si>
  <si>
    <t>Biocenoza pochwy – jak zdobyta wiedza przełoży się na aspekt terapeutyczny i poprawę skuteczności leczenia?</t>
  </si>
  <si>
    <t>https://www.bigmarker.com/remedium/Biocenoza-pochwy-jak-zdobyta-wiedza-prze-o-y-si-na-aspekt-terapeutyczny-i-popraw-skuteczno-ci-leczenia/promote_manage#</t>
  </si>
  <si>
    <t>Angina u dzieci – podejście diagnostyczne</t>
  </si>
  <si>
    <t>https://www.bigmarker.com/remedium/Angina-u-dzieci-i-jej-leczenie-nowa-posta-penicyliny-w-zawiesinie-dla-dzieci/promote_manage#</t>
  </si>
  <si>
    <t>Skąd się biorą sprawy sądowe przeciwko lekarzom? Analiza przyczyn powstawania spraw sądowych na wybranych przykładach</t>
  </si>
  <si>
    <t>https://www.bigmarker.com/remedium/Sk-d-si-bior-sprawy-s-dowe-przeciwko-lekarzom-Analiza-przyczyn-powstawania-spraw-s-dowych-na-wybranych-przyk-adach/promote_manage#</t>
  </si>
  <si>
    <t>Angina u dzieci – leczenie</t>
  </si>
  <si>
    <t>https://www.bigmarker.com/remedium/Angina-u-dzieci-leczenie/promote_manage#</t>
  </si>
  <si>
    <t>Pacjent bardzo wysokiego ryzyka sercowo-naczyniowego. Omówienie algorytmów postępowania z pacjentem z hipercholesterolemią w gabinecie lekarza POZ</t>
  </si>
  <si>
    <t>https://www.bigmarker.com/remedium/Pacjent-bardzo-wysokiego-ryzyka-sercowo-naczyniowego-Om-wienie-algorytm-w-post-powania-z-pacjentem-z-hipercholesterolemi-w-gabinecie-lekarza-POZ/promote_manage#</t>
  </si>
  <si>
    <t>Policja i inne służby w gabinecie lekarza – co można, co trzeba, czego nie wolno?</t>
  </si>
  <si>
    <t>https://www.bigmarker.com/remedium/Policja-i-inne-s-u-by-w-gabinecie-lekarza-co-mo-na-co-trzeba-czego-nie-wolno/promote_manage#</t>
  </si>
  <si>
    <t>Aktualne możliwości leczenia hipercholesterolemii w Polsce</t>
  </si>
  <si>
    <t>https://www.bigmarker.com/remedium/Aktualne-mo-liwo-ci-leczenia-hipercholesterolemii-w-Polsce-5191dd15a914b387265297a9/promote_manage#</t>
  </si>
  <si>
    <t>Angina u dzieci - Q&amp;A</t>
  </si>
  <si>
    <t>https://www.bigmarker.com/remedium/Angina-u-dzieci-Q-A/promote_manage#</t>
  </si>
  <si>
    <t>I Międzynarodowy Kongres Kardiomiopatii</t>
  </si>
  <si>
    <t>I Międzynarodowy Kongres Kardiomiopatii: Sesja studencka</t>
  </si>
  <si>
    <t>I Międzynarodowy Kongres Kardiomiopatii: Warsztaty z rezonansu magnetycznego serca</t>
  </si>
  <si>
    <t>Wspólna troska o serce: spotkanie integracyjne dla lekarzy i pacjentów kardiologicznych</t>
  </si>
  <si>
    <t>XXIV Warszawskie Dni Kardiologii Akademickiej - dostęp dla lekarzy</t>
  </si>
  <si>
    <t>https://www.bigmarker.com/remedium/I-Mi-dzynarodowy-Kongres-Kardiomiopatii-Warsztaty-z-rezonansu-magnetycznego/promote_manage#</t>
  </si>
  <si>
    <t>XXIV Warszawskie Dni Kardiologii Akademickiej - dostęp dla studentów</t>
  </si>
  <si>
    <t>https://www.bigmarker.com/remedium/I-Mi-dzynarodowy-Kongres-Kardiomiopatii-Sesja-studencka/promote_manage#</t>
  </si>
  <si>
    <t>Czy do cięcia cesarskiego można się przygotować?</t>
  </si>
  <si>
    <t>https://www.bigmarker.com/remedium/Czy-do-ci-cia-cesarskiego-mo-na-si-przygotowa/promote_manage#</t>
  </si>
  <si>
    <t>Jak rozpoznawać i postępować z zaparciem u dorosłych?</t>
  </si>
  <si>
    <t>https://www.bigmarker.com/remedium/Jak-rozpoznawa-i-post-powa-z-zaparciem-u-doros-ych/promote_manage#</t>
  </si>
  <si>
    <t>Alergologia</t>
  </si>
  <si>
    <t>Katar, który nie mija: jak skutecznie diagnozować i leczyć alergiczny nieżyt nosa?</t>
  </si>
  <si>
    <t>https://www.bigmarker.com/remedium/Katar-kt-ry-nie-mija-jak-skutecznie-diagnozowa-i-leczy-alergiczny-nie-yt-nosa/promote_manage#</t>
  </si>
  <si>
    <t>Zmiany w kodeksie pracy - wszystko, co musisz wiedzieć jako lekarz.</t>
  </si>
  <si>
    <t>https://www.bigmarker.com/remedium/Zmiany-w-kodeksie-pracy-wszystko-co-musisz-wiedzie-jako-lekarz/promote_manage#</t>
  </si>
  <si>
    <t>Praktyczne wprowadzenie do terapii suszem konopnym – cz. 1</t>
  </si>
  <si>
    <t>https://www.bigmarker.com/remedium/Praktyczne-wprowadzenie-do-terapii-suszem-konopnym-cz-1/promote_manage#</t>
  </si>
  <si>
    <t>Praktyczne wprowadzenie do terapii suszem konopnym – cz. 2</t>
  </si>
  <si>
    <t>https://www.bigmarker.com/remedium/Praktyczne-wprowadzenie-do-terapii-suszem-konopnym-cz-2-679e6966a6d51480d81acc1c/promote_manage#</t>
  </si>
  <si>
    <t>Makrogole, zmiana diety, a może probiotyki? Strategie postępowania w zaparciach</t>
  </si>
  <si>
    <t>https://www.bigmarker.com/remedium/Makrogole-zmiana-diety-a-mo-e-probiotyki/promote_manage#</t>
  </si>
  <si>
    <t>Od otyłości do niewydolności naczyń żylnych i miażdżycy – jak zapobiegać i leczyć?</t>
  </si>
  <si>
    <t>https://www.bigmarker.com/remedium/Od-oty-o-ci-do-niewydolno-ci-naczy-ylnych-i-mia-d-ycy-jak-zapobiega-i-leczy/promote_manage#</t>
  </si>
  <si>
    <t>Choroby sercowo-naczyniowe związane z miażdżycą - możliwości leczenia farmakologicznego. Debata chirurgiczno-kardiologiczna.</t>
  </si>
  <si>
    <t>https://www.bigmarker.com/remedium/Choroby-sercowo-naczyniowe-zwi-zane-z-mia-d-yc-mo-liwo-ci-leczenia-farmakologicznego-Debata-chirurgiczno-kardiologiczna/promote_manage#</t>
  </si>
  <si>
    <t>Czy rodzic zawsze ma rację? O sytuacjach problemowych w udzielaniu świadczeń zdrowotnych pacjentom małoletnim</t>
  </si>
  <si>
    <t>Debaty prawne</t>
  </si>
  <si>
    <t>https://www.bigmarker.com/remedium/Czy-rodzic-zawsze-ma-racj-O-sytuacjach-problemowych-w-udzielaniu-wiadcze-zdrowotnych-pacjentom-ma-oletnim/promote_manage#</t>
  </si>
  <si>
    <t>Kiedy chirurdzy trafiają do sądu?</t>
  </si>
  <si>
    <t>https://www.bigmarker.com/remedium/Kiedy-chirurdzy-trafiaj-do-s-du/promote_manage#</t>
  </si>
  <si>
    <t>Ma Pani takie samo prawo wykonywania zawodu jak ja, proszę decydować, czyli o prawach i obowiązkach rezydenta na oddziale.</t>
  </si>
  <si>
    <t>https://www.bigmarker.com/remedium/Ma-Pani-takie-samo-prawo-wykonywania-zawodu-jak-ja-prosz-decydowa-czyli-o-prawach-i-obowi-zkach-rezydenta-na-oddziale/promote_manage#</t>
  </si>
  <si>
    <t>Konferencja "Pierwsze kroki w POZ - infekcje, szczepienia, antybiotykoterapia"</t>
  </si>
  <si>
    <t>https://www.bigmarker.com/remedium/Konferencja-Pierwsze-kroki-w-POZ-infekcje-i-antybiotykoterapia/promote_manage#</t>
  </si>
  <si>
    <t>7 niezbędnych wpisów w dokumentacji medycznej rezydenta</t>
  </si>
  <si>
    <t>https://www.bigmarker.com/remedium/7-niezb-dnych-wpis-w-w-dokumentacji-medycznej-rezydenta/promote_manage#</t>
  </si>
  <si>
    <t>5 przełomowych spraw sądowych z medycyny zabiegowej</t>
  </si>
  <si>
    <t>https://www.bigmarker.com/remedium/5-prze-omowych-spraw-s-dowych-z-medycyny-zabiegowej/promote_manage#</t>
  </si>
  <si>
    <t>Narastająca antybiotykooporność a wybór racjonalnego leczenia infekcji</t>
  </si>
  <si>
    <t>https://www.bigmarker.com/remedium/Narastaj-ca-antybiotykooporno-a-wyb-r-racjonalnego-leczenia-infekcji/promote_manage#</t>
  </si>
  <si>
    <t>Konferencja "Pierwsze kroki w POZ - psychiatria, neurologia, ból"</t>
  </si>
  <si>
    <t>https://www.bigmarker.com/remedium/Konferencja-Pierwsze-kroki-w-POZ-psychiatria-neurologia-b-l/promote_manage#</t>
  </si>
  <si>
    <t>Komu mogę powiedzieć “Operowałem ministra”? Wątpliwości dotyczące tajemnicy lekarskiej</t>
  </si>
  <si>
    <t>https://www.bigmarker.com/remedium/Komu-mog-powiedzie-Operowa-em-ministra-W-tpliwo-ci-dotycz-ce-tajemnicy-lekarskiej/promote_manage#</t>
  </si>
  <si>
    <t>Konferencja "Pierwsze kroki w POZ - dermatologia, reumatologia"</t>
  </si>
  <si>
    <t>https://www.bigmarker.com/remedium/Konferencja-Pierwsze-kroki-w-POZ-dermatologia-reumatologia/promote_manage#</t>
  </si>
  <si>
    <t>Jak zadbać o komfort pacjentów z infekcją górnych dróg oddechowych?</t>
  </si>
  <si>
    <t>https://www.bigmarker.com/remedium/Jak-zadba-o-komfort-pacjent-w-z-infekcj-g-rnych-dr-g-oddechowych/promote_manage#</t>
  </si>
  <si>
    <t>ABC – diagnostyki i leczenia chorób żył i tętnic kończyn dolnych</t>
  </si>
  <si>
    <t>https://www.bigmarker.com/remedium/ABC-diagnostyki-i-leczenia-chor-b-y-i-t-tnic-ko-czyn-dolnych/promote_manage#</t>
  </si>
  <si>
    <t>BLS bezpieczeństwa prawnego lekarza</t>
  </si>
  <si>
    <t>https://www.bigmarker.com/remedium/BLS-bezpiecze-stwa-prawnego-lekarza-1bcdd906e93750989584e957/promote_manage#</t>
  </si>
  <si>
    <t>Nawracające zakażenia dróg oddechowych w sezonie infekcyjnym</t>
  </si>
  <si>
    <t>https://www.bigmarker.com/remedium/NZDO-w-sezonie-infekcyjnym-4fd3329e7edac375866656f4/promote_manage#</t>
  </si>
  <si>
    <t>Badanie Duplex Doppler zakrzepicy żylnej</t>
  </si>
  <si>
    <t>https://www.bigmarker.com/remedium/Badanie-Duplex-Doppler-zakrzepicy-ylnej/promote_manage#</t>
  </si>
  <si>
    <t>Kierowcy i leki – czyli o wpływie farmakoterapii na OUN od strony medycznej i prawnej</t>
  </si>
  <si>
    <t>https://www.bigmarker.com/remedium/Kierowcy-i-leki-czyli-o-wp-ywie-farmakoterapii-na-OUN-od-strony-medycznej-i-prawnej/promote_manage#</t>
  </si>
  <si>
    <t>Breaking bad news, czyli jak prawidłowo przekazywać pacjentom niepomyślne informacje?</t>
  </si>
  <si>
    <t>https://www.bigmarker.com/remedium/Breaking-bad-news-czyli-jak-prawid-owo-przekazywa-pacjentom-niepomy-lne-informacje/promote_manage#</t>
  </si>
  <si>
    <t>Kaszel niejedno ma imię – jak sobie radzić</t>
  </si>
  <si>
    <t>https://www.bigmarker.com/remedium/Kaszel-niejedno-ma-imi-jak-sobie-radzi/promote_manage#</t>
  </si>
  <si>
    <t>Konferencja "Pierwsze kroki w POZ - pediatria"</t>
  </si>
  <si>
    <t>https://www.bigmarker.com/remedium/Konferencja-Pierwsze-kroki-w-POZ-pediatria/promote_manage#</t>
  </si>
  <si>
    <t>Terapia hipotensyjna w praktyce – co nowego w wytycznych ESH i ESC?</t>
  </si>
  <si>
    <t>https://www.bigmarker.com/remedium/terapia-hipotensyjna-w-praktyce-co-nowego-w-wytycznych-esh-i-esc/promote_manage#</t>
  </si>
  <si>
    <t>XXV Warszawskie Dni Kardiologii Akademickiej - dostęp dla lekarzy</t>
  </si>
  <si>
    <t>https://www.bigmarker.com/remedium/XXV-Warszawskie-Dni-Kardiologii-Akademickiej-dost-p-dla-lekarzy/promote_manage#</t>
  </si>
  <si>
    <t>XXV Warszawskie Dni Kardiologii Akademickiej - dostęp dla studentów</t>
  </si>
  <si>
    <t>https://www.bigmarker.com/remedium/XXV-Warszawskie-Dni-Kardiologii-Akademickiej-dost-p-dla-student-w-c2bda5f3454a04994d67fb1d/promote_manage#</t>
  </si>
  <si>
    <t>Sezon alergiczny w praktyce lekarza rodzinnego - schematy leczenia krok po kroku</t>
  </si>
  <si>
    <t>https://www.bigmarker.com/remedium/cetyryzyna-w-xxi-wieku-sprawdzona-moleku-a-czy-z-oty-standard/promote_manage#</t>
  </si>
  <si>
    <t>Mikrobiom pod lupą – kiedy i jak ordynować probiotyki w codziennej praktyce</t>
  </si>
  <si>
    <t>https://www.bigmarker.com/remedium/mikrobiom-pod-lup-kiedy-i-jak-ordynowa-probiotyki-w-codziennej-praktyce/promote_manage#</t>
  </si>
  <si>
    <t>Nie każdy katar to alergia – jak skutecznie diagnozować ANN?</t>
  </si>
  <si>
    <t>https://www.bigmarker.com/remedium/nie-ka-dy-katar-to-alergia-jak-skutecznie-diagnozowa-ann/promote_manage#</t>
  </si>
  <si>
    <t>Ból kręgosłupa w praktyce – jak skutecznie diagnozować i leczyć?</t>
  </si>
  <si>
    <t>https://www.bigmarker.com/remedium/b-l-kr-gos-upa-w-praktyce-jak-skutecznie-diagnozowa-i-leczy/promote_manage#</t>
  </si>
  <si>
    <t>II Międzynarodowy Kongres Kardiomiopatii - dostęp lekarski</t>
  </si>
  <si>
    <t>https://www.bigmarker.com/remedium/ii-mi-dzynarodowy-kongres-kardiomiopatii/promote_manage#</t>
  </si>
  <si>
    <t>II Międzynarodowy Kongres Kardiomiopatii - dostęp studencki</t>
  </si>
  <si>
    <t>https://www.bigmarker.com/remedium/ii-mi-dzynarodowy-kongres-kardiomiopatii-sesja-studencka-5856bfff97bc8bc743633366/promote_manage#</t>
  </si>
  <si>
    <t>II Międzynarodowy Kongres Kardiomiopatii: Sesja studencka</t>
  </si>
  <si>
    <t>https://www.bigmarker.com/remedium/ii-mi-dzynarodowy-kongres-kardiomiopatii-sesja-studencka/promote_manage#</t>
  </si>
  <si>
    <t>II Międzynarodowy Kongres Kardiomiopatii: Warsztaty z rezonansu magnetycznego serca - dostęp lekarski</t>
  </si>
  <si>
    <t>https://www.bigmarker.com/remedium/ii-mi-dzynarodowy-kongres-kardiomiopatii-warsztaty-z-rezonansu-magnetycznego-serca-sesja-lekarska/promote_manage#</t>
  </si>
  <si>
    <t>II Międzynarodowy Kongres Kardiomiopatii: Warsztaty z rezonansu magnetycznego serca - dostęp studencki</t>
  </si>
  <si>
    <t>https://www.bigmarker.com/remedium/ii-mi-dzynarodowy-kongres-kardiomiopatii-warsztaty-z-rezonansu-magnetycznego-serca/promote_manage#</t>
  </si>
  <si>
    <t>https://www.bigmarker.com/remedium/wsp-lna-troska-o-serce-spotkanie-integracyjne-dla-lekarzy-i-pacjent-w-kardiologicznych/promote_manage#</t>
  </si>
  <si>
    <t>Nowe możliwości w diagnozowaniu i terapii alergicznego nieżytu nosa (ANN)</t>
  </si>
  <si>
    <t>https://www.bigmarker.com/remedium/nowe-mo-liwo-ci-w-diagnozowaniu-i-terapii-alergicznego-nie-ytu-nosa-ann/promote_manage#</t>
  </si>
  <si>
    <t>Wywiad, badanie przedmiotowe i... – czyli co da mi wiedza z EKG w codziennej praktyce?</t>
  </si>
  <si>
    <t>https://www.bigmarker.com/remedium/tytu-wywiad-badanie-przedmiotowe-i-czyli-co-da-mi-wiedza-z-ekg-w-codziennej-praktyce/promote_manage#</t>
  </si>
  <si>
    <t>Przedłużona profilaktyka przeciwzakrzepowa – praktyczne podejście w oparciu o przypadki kliniczne</t>
  </si>
  <si>
    <t>https://www.bigmarker.com/remedium/przed-u-ona-profilaktyka-przeciwzakrzepowa-praktyczne-podej-cie-w-oparciu-o-przypadki-kliniczne/promote_manage#</t>
  </si>
  <si>
    <t>Przewlekły ból u osób w wieku podeszłym – efektywna terapia w praktyce klinicznej</t>
  </si>
  <si>
    <t>https://www.bigmarker.com/remedium/przewlek-y-b-l-u-os-b-w-wieku-podesz-ym-efektywna-terapia-w-praktyce-klinicznej/promote_manage#</t>
  </si>
  <si>
    <t>Konferencja "Specjalista w praktyce: Ginekologia i położnictwo"</t>
  </si>
  <si>
    <t>https://www.bigmarker.com/remedium/konferencja-specjalista-w-praktyce-ginekologia/promote_manage#</t>
  </si>
  <si>
    <t>Karolina Grela</t>
  </si>
  <si>
    <t>Praktyczne aspekty stosowania cytykoliny w udarze mózgu i zaburzeniach poznawczych</t>
  </si>
  <si>
    <t>https://www.bigmarker.com/remedium/praktyczne-aspekty-stosowania-cytykoliny-w-udarze-m-zgu-i-zaburzeniach-poznawczych/promote_manage#</t>
  </si>
  <si>
    <t>Lekarz na rozdrożu – o granicach decyzji w kontekście aborcji</t>
  </si>
  <si>
    <t>https://www.bigmarker.com/remedium/lekarz-na-rozdro-u-o-granicach-decyzji-w-kontek-cie-aborcji-i-tranzycji/promote_manage#</t>
  </si>
  <si>
    <t>Agresja wobec medyków – prawa, ochrona, przeciwdziałanie</t>
  </si>
  <si>
    <t>https://www.bigmarker.com/remedium/agresja-wobec-medyk-w-prawa-ochrona-przeciwdzia-anie/promote_manage#</t>
  </si>
  <si>
    <t>Jak przygotować się do stażu podyplomowego?</t>
  </si>
  <si>
    <t>https://www.bigmarker.com/remedium/jak-przygotowa-si-do-sta-u-podyplomowego/promote_manage#</t>
  </si>
  <si>
    <t>Depresja w gabinecie POZ – czy każdy pacjent wymaga konsultacji psychiatrycznej?</t>
  </si>
  <si>
    <t>https://www.bigmarker.com/remedium/depresja-w-gabinecie-poz-czy-ka-dy-pacjent-wymaga-konsultacji-psychiatrycznej/promote_manage#</t>
  </si>
  <si>
    <t>Nudności i wymioty w ciąży – kiedy, dlaczego i jak należy leczyć?</t>
  </si>
  <si>
    <t>https://www.bigmarker.com/remedium/nudno-ci-i-wymioty-w-ci-y-kiedy-dlaczego-i-jak-nale-y-leczy/promote_manage#</t>
  </si>
  <si>
    <t>Konferencja "Pierwsze kroki w POZ – infekcje, szczepienia, antybiotykoterapia"</t>
  </si>
  <si>
    <t>https://www.bigmarker.com/remedium/konferencja-pierwsze-kroki-w-poz-infekcje-szczepienia-antybiotyki/promote_manage#</t>
  </si>
  <si>
    <t>Joanna Jodełka</t>
  </si>
  <si>
    <t>Agresywny pacjent – prawa, obowiązki i ścieżki postępowania</t>
  </si>
  <si>
    <t>ALL</t>
  </si>
  <si>
    <t>https://www.bigmarker.com/remedium/agresywny-pacjent-prawa-obowi-zki-i-cie-ki-post-powania/promote_manage#</t>
  </si>
  <si>
    <t>Immunoprofilaktyka w praktyce POZ – scenariusze postępowania od dziecka po dorosłego pacjenta</t>
  </si>
  <si>
    <t>POZ, pediatria</t>
  </si>
  <si>
    <t>https://www.bigmarker.com/remedium/immunoprofilaktyka-w-praktyce-poz-scenariusze-post-powania-od-dziecka-po-doros-ego-pacjenta/promote_manage#</t>
  </si>
  <si>
    <t>Konferencja "Pierwsze kroki w POZ – psychiatria, neurologia, ból"</t>
  </si>
  <si>
    <t>https://www.bigmarker.com/remedium/konferencja-pierwsze-kroki-w-poz-psychiatria-neurologia-b-l-32d2c8e9c9e6169a2f99df75/promote_manage#</t>
  </si>
  <si>
    <t>Depresja w praktyce lekarza POZ – kiedy podejrzewać depresję u seniora?</t>
  </si>
  <si>
    <t>https://www.notion.so/brandmed/Promocja-zapisu-do-webinaru-2-68-2025-Angelini-Trittico-25402785b05c8025a5cfe51e9fb8a41d?source=copy_link</t>
  </si>
  <si>
    <t>POZ / Psychiatria</t>
  </si>
  <si>
    <t>https://www.bigmarker.com/remedium/depresja-w-praktyce-lekarza-poz-kiedy-podejrzewa-depresj-u-seniora/promote_manage#</t>
  </si>
  <si>
    <t>Konferencja "Pierwsze kroki w POZ – gastroenterologia"</t>
  </si>
  <si>
    <t>https://www.bigmarker.com/remedium/konferencja-pierwsze-kroki-w-poz-gastroenterologia-f8ccda0084502da4242e81b5/promote_manage#</t>
  </si>
  <si>
    <t>Żelazo – zmieniamy zasady gry w praktyce POZ</t>
  </si>
  <si>
    <t>https://www.bigmarker.com/remedium/elazo-zmieniamy-zasady-gry-w-praktyce-poz/promote_manage#</t>
  </si>
  <si>
    <t>Konferencja "Pierwsze kroki w POZ – kardiologia"</t>
  </si>
  <si>
    <t>https://www.bigmarker.com/remedium/pierwsze-kroki-w-poz-kardiologia/promote_manage#</t>
  </si>
  <si>
    <t>Paulina Gigoń</t>
  </si>
  <si>
    <t xml:space="preserve">Terapia grypy pod kontrolą – obalamy 5 popularnych mitów </t>
  </si>
  <si>
    <t>https://www.notion.so/brandmed/zlecenie-promocji-webinaru-158-2025-Biofarm-grypa-webinar-2ab02785b05c807b90dacb7014240b00?source=copy_link</t>
  </si>
  <si>
    <t>https://www.bigmarker.com/remedium/terapia-grypy-pod-kontrol-obalamy-5-popularnych-mit-w/promote_manage#</t>
  </si>
  <si>
    <t>Konferencja "Pierwsze kroki w POZ – alergologia, pulmonologia, dermatologia"</t>
  </si>
  <si>
    <t>https://www.bigmarker.com/remedium/konferencja-pierwsze-kroki-w-poz-dermatologia-i-alergologia/promote_manage#</t>
  </si>
  <si>
    <t>Konferencja "Specjalista w praktyce – pediatria"</t>
  </si>
  <si>
    <r>
      <rPr>
        <rFont val="Arial"/>
        <color rgb="FF1155CC"/>
        <u/>
      </rPr>
      <t>https://www.bigmarker.com/remedium/konferencja-pierwsze-kroki-w-poz-pediatria-170bf859cb45/promote_manage#</t>
    </r>
    <r>
      <rPr>
        <rFont val="Arial"/>
      </rPr>
      <t xml:space="preserve"> </t>
    </r>
  </si>
  <si>
    <t>Konferencja "Pierwsze kroki w POZ - diabetologia"</t>
  </si>
  <si>
    <t>https://www.bigmarker.com/remedium/konferencja-pierwsze-kroki-w-poz-diabetologia/promote_manage#</t>
  </si>
  <si>
    <t>XXVI Warszawskie Dni Kardiologii Akademickiej - dostęp dla lekarzy</t>
  </si>
  <si>
    <t>Lekarze</t>
  </si>
  <si>
    <t>https://www.bigmarker.com/remedium/xxvi-warszawskie-dni-kardiologii-akademickiej-dost-p-dla-lekarzy/promote_manage#</t>
  </si>
  <si>
    <t>XXVI Warszawskie Dni Kardiologii Akademickiej - dostęp dla studentów</t>
  </si>
  <si>
    <t>Studenci</t>
  </si>
  <si>
    <t>https://www.bigmarker.com/remedium/xxvi-warszawskie-dni-kardiologii-akademickiej-dost-p-dla-student-w/promote_manage#</t>
  </si>
  <si>
    <t>III Międzynarodowy Kongres Kardiomiopatii - dostęp studencki</t>
  </si>
  <si>
    <t>W promocji</t>
  </si>
  <si>
    <t>https://www.bigmarker.com/remedium/iii-mi-dzynarodowy-kongres-kardiomiopatii-sesja-studencka/promote_manage#</t>
  </si>
  <si>
    <t>III Międzynarodowy Kongres Kardiomiopatii - dostęp lekarski</t>
  </si>
  <si>
    <t>https://www.bigmarker.com/remedium/iii-mi-dzynarodowy-kongres-kardiomiopatii-sesja-studencka-87444c527689/promote_manage#</t>
  </si>
  <si>
    <t>https://www.bigmarker.com/remedium/konferencja-pierwsze-kroki-w-poz-pediatria-2b9340fc2d4f/promote_manage#</t>
  </si>
  <si>
    <t>https://www.bigmarker.com/remedium/konferencja-pierwsze-kroki-w-poz-diabetologia-d0df8af31ba1/promote_manage#</t>
  </si>
  <si>
    <t>Konferencja "Pierwsze kroki w POZ - dermatologia i alergologia"</t>
  </si>
  <si>
    <t>Oczekuje</t>
  </si>
  <si>
    <t>Emilia Karbowiecka</t>
  </si>
  <si>
    <t>Depresja - kiedy leczyć w gabinecie POZ, a kiedy kierować do psychiatry?</t>
  </si>
  <si>
    <t>https://www.notion.so/brandmed/Plan-promocji-zapisy-na-webinar-229-2025-Egis-Agomelatyna-escitalopram-wenlafaksyna-2c302785b05c8084be99c93d11e490f6?source=copy_link</t>
  </si>
  <si>
    <t>https://www.bigmarker.com/remedium/depresja-kiedy-leczy-w-gabinecie-poz-a-kiedy-kierowa-do-psychiatry/promote_manage#</t>
  </si>
  <si>
    <t>Honorowy dawca krwi [Egis]</t>
  </si>
  <si>
    <t>Nazwa Konferencji</t>
  </si>
  <si>
    <t>Tytuł / link</t>
  </si>
  <si>
    <t>Cała playlista</t>
  </si>
  <si>
    <t>Marihuana medyczna – dlaczego musimy na nią uważać w gabinecie POZ</t>
  </si>
  <si>
    <t>wykład plenarny Remedium</t>
  </si>
  <si>
    <t>Niesterydowe leki przeciwzapalne - podobieństwa i różnice</t>
  </si>
  <si>
    <t>wykład społeczności Remedium</t>
  </si>
  <si>
    <t>Trazodon w praktyce lekarza POZ</t>
  </si>
  <si>
    <t>wykład sponsorowany firmy farmaceutycznej</t>
  </si>
  <si>
    <t>400-500</t>
  </si>
  <si>
    <t>Panel dyskusyjny wszystkich ekspertów z sesji</t>
  </si>
  <si>
    <t>panel dyskusyjny</t>
  </si>
  <si>
    <t>Farmakoterapia ADHD a stan somatyczny pacjenta</t>
  </si>
  <si>
    <t>Jak dobrać lek przeciwdepresyjny w POZ?</t>
  </si>
  <si>
    <t>Lęk i zaburzenia snu – częsty problem w gabinecie POZ. Jak leczyć?</t>
  </si>
  <si>
    <t>Zaburzenia pamięci w gabinecie POZ</t>
  </si>
  <si>
    <t>Farmakoterapia fibromialgii w gabinecie POZ</t>
  </si>
  <si>
    <t>Agomelatyna w leczeniu depresji</t>
  </si>
  <si>
    <t>Pierwotne bóle głowy - migrena, napięciowe bóle głowy. Jak je rozpoznać i leczyć w praktyce POZ?</t>
  </si>
  <si>
    <t>Low Back Pain - diagnostyka i leczenie</t>
  </si>
  <si>
    <t>Miorelaksanty w praktyce klinicznej - racjonalny wybór u chorych z bólem krzyża</t>
  </si>
  <si>
    <t>Opiekun: Karola</t>
  </si>
  <si>
    <t>Konferencja Pierwsze kroki w POZ - infekcje, szczepienia i antybiotykoterapia 2025</t>
  </si>
  <si>
    <t>Data publikacji: 11.09.2025</t>
  </si>
  <si>
    <t>Czas promocji</t>
  </si>
  <si>
    <t>Posthog</t>
  </si>
  <si>
    <t>Notion - zadanie</t>
  </si>
  <si>
    <t xml:space="preserve">Nr odcinka </t>
  </si>
  <si>
    <t>Wyświetlenia</t>
  </si>
  <si>
    <t>Play</t>
  </si>
  <si>
    <t>Play UU</t>
  </si>
  <si>
    <t>% UU/Play UU</t>
  </si>
  <si>
    <t>Śr. WatchTime [min]:</t>
  </si>
  <si>
    <t>Śr. % oglądania</t>
  </si>
  <si>
    <t>typ</t>
  </si>
  <si>
    <t>KPI</t>
  </si>
  <si>
    <t>COVID-19 w 2025 roku: aktualne wytyczne szczepień i leczenia</t>
  </si>
  <si>
    <t>Czy terapia sekwencyjna może być przydatna w nieżytach nosa?</t>
  </si>
  <si>
    <t>Szczepienia dorosłych: pneumokoki, krztusiec, półpasiec i RSV - zasady i praktyczne rady</t>
  </si>
  <si>
    <t>Czynniki ryzyka zawodowego lekarza: ekspozycja na drobnoustroje i szczepienia personelu</t>
  </si>
  <si>
    <t>Medycyna podróży: aktualizacja o nowe zagrożenia i możliwości profilaktyki</t>
  </si>
  <si>
    <t>Amoksycylina - z klawulanianem czy solo? Który antybiotyk wybrać zgodnie z EBM</t>
  </si>
  <si>
    <t>300-400</t>
  </si>
  <si>
    <t>Teleporada w zakażeniach układu oddechowego krok po kroku</t>
  </si>
  <si>
    <t>Praktyczna antybiotykoterapia dolnych dróg oddechowych: kiedy beta-laktam, a kiedy od makrolid? Jak długo? A kiedy RTG?</t>
  </si>
  <si>
    <t>Probiotyki od A do Z</t>
  </si>
  <si>
    <t>Zaktualizowane wytyczne szczepienia przeciwko półpaścowi</t>
  </si>
  <si>
    <t>Szczepienia przed, w i po immunosupresji</t>
  </si>
  <si>
    <t>Ryzyko po 65, czyli twarde argumenty za szczepieniem przeciwko RSV</t>
  </si>
  <si>
    <t>Playlista</t>
  </si>
  <si>
    <t>LIVE</t>
  </si>
  <si>
    <t>Zarejestrowani</t>
  </si>
  <si>
    <t>Obecni</t>
  </si>
  <si>
    <t>Średni czas uczestnictwa [min]</t>
  </si>
  <si>
    <t>Live + vod</t>
  </si>
  <si>
    <t>Konferencja Pierwsze kroki w POZ - infekcje, szczepienia i antybiotykoterapia 2024</t>
  </si>
  <si>
    <t>Data publikacji: 19.09.2024</t>
  </si>
  <si>
    <t>% UU/PlayUU</t>
  </si>
  <si>
    <t>śr. % oglądania</t>
  </si>
  <si>
    <t>Choroby zakaźne w POZ: co warto wiedzieć, od czego zacząć?</t>
  </si>
  <si>
    <t>Uzupełnienie szczepień pacjenta z Ukrainy na przykładach: małe dziecko, nastolatek i dorosły</t>
  </si>
  <si>
    <t>Alergia jako częsta przyczyna zgłaszania się do lekarza POZ</t>
  </si>
  <si>
    <t>Zrozumieć szczepienia: ogólne reguły, koadministracja, zaległości, przeciwwskazania, dodatkowe dawki, brak danych lub brak szczepionki</t>
  </si>
  <si>
    <t>Nawracające zakażenia układu moczowego</t>
  </si>
  <si>
    <t>Diagnostyka i postępowanie w krztuścu w POZ</t>
  </si>
  <si>
    <t>Nos i krtań w sezonie infekcyjnym i alergicznym</t>
  </si>
  <si>
    <t>Powracający pacjent: rady doświadczonych kolegów w nawracających zakażeniach dróg oddechowych i moczowych</t>
  </si>
  <si>
    <t>Rozpoznawanie laboratoryjne zakażeń układu oddechowego z uwzględnieniem krztuśca i mykoplazmy</t>
  </si>
  <si>
    <t>Co robić z pacjentem z przewlekłym kaszlem w POZ?</t>
  </si>
  <si>
    <t>Co jeśli za pierwszym razem się nie uda? Antybiotyki w leczeniu skorygowanym bakteryjnych infekcji górnych dróg oddechowych</t>
  </si>
  <si>
    <t>Diagnostyka zakażeń: oko, ucho i zlecenia do laboratorium</t>
  </si>
  <si>
    <t>Antybiotykoterapia praktyczna krok po kroku</t>
  </si>
  <si>
    <t>Ostra biegunka: instrukcja obsługi w POZ</t>
  </si>
  <si>
    <t>Antybiotyki w dobrej formie, czyli jak ułatwić pacjentom przestrzeganie zaleceń lekarza</t>
  </si>
  <si>
    <t>Antybiotyki pierwszego rzutu w POZ, postępowanie w niepowodzeniach i powikłaniach</t>
  </si>
  <si>
    <t>Średnie</t>
  </si>
  <si>
    <t>Podsumowanie - Użytkownicy</t>
  </si>
  <si>
    <t>Rejestracja - 1</t>
  </si>
  <si>
    <t>Live - 1</t>
  </si>
  <si>
    <t>vod - 1</t>
  </si>
  <si>
    <t>play - 1</t>
  </si>
  <si>
    <t>live-1 / vod - 1</t>
  </si>
  <si>
    <t>live -1 / play - 1</t>
  </si>
  <si>
    <t>Rejestracja - 1 / live - 0 / play - 1</t>
  </si>
  <si>
    <t>Konferencja Pierwsze kroki w POZ - psychiatria, neurologia, ból 2025</t>
  </si>
  <si>
    <t>Data publikacji: 05.11.2025</t>
  </si>
  <si>
    <t>Notion</t>
  </si>
  <si>
    <t>Budżet na 3 msc</t>
  </si>
  <si>
    <t>RAZEM</t>
  </si>
  <si>
    <t xml:space="preserve"> </t>
  </si>
  <si>
    <t>Data publikacji</t>
  </si>
  <si>
    <t>Użytkownicy</t>
  </si>
  <si>
    <t>Depresja poudarowa – diagnostyka i leczenie</t>
  </si>
  <si>
    <t>/wideo/konferencja-pierwsze-kroki-w-poz-psychiatria-neurologia-bol-159/depresja-poudarowa-diagnostyka-i-leczenie-357</t>
  </si>
  <si>
    <t>Bóle głowy – różnicowanie i leczenie</t>
  </si>
  <si>
    <t>/wideo/konferencja-pierwsze-kroki-w-poz-psychiatria-neurologia-bol-159/bole-glowy-roznicowanie-i-leczenie-358</t>
  </si>
  <si>
    <t>Migrena w gabinecie POZ</t>
  </si>
  <si>
    <t>Sponsorowany</t>
  </si>
  <si>
    <t>/wideo/konferencja-pierwsze-kroki-w-poz-psychiatria-neurologia-bol-159/migrena-w-gabinecie-poz-359</t>
  </si>
  <si>
    <t>Panel dyskusyjny, część I</t>
  </si>
  <si>
    <t>/wideo/konferencja-pierwsze-kroki-w-poz-psychiatria-neurologia-bol-159/panel-dyskusyjny-czesc-i-360</t>
  </si>
  <si>
    <t>Choroby somatyczne a depresja</t>
  </si>
  <si>
    <t>/wideo/konferencja-pierwsze-kroki-w-poz-psychiatria-neurologia-bol-159/choroby-somatyczne-a-depresja-361</t>
  </si>
  <si>
    <t>Bezsenność – diagnostyka i leczenie w POZ</t>
  </si>
  <si>
    <t>/wideo/konferencja-pierwsze-kroki-w-poz-psychiatria-neurologia-bol-159/bezsennosc-diagnostyka-i-leczenie-w-poz-362</t>
  </si>
  <si>
    <t>„Diagnozuj i lecz” – aplikacja pomocna w leczeniu depresji w POZ</t>
  </si>
  <si>
    <t>/wideo/konferencja-pierwsze-kroki-w-poz-psychiatria-neurologia-bol-159/diagnozuj-i-lecz-aplikacja-pomocna-w-leczeniu-depresji-w-poz-363</t>
  </si>
  <si>
    <t>Panel dyskusyjny, część II</t>
  </si>
  <si>
    <t>/wideo/konferencja-pierwsze-kroki-w-poz-psychiatria-neurologia-bol-159/panel-dyskusyjny-czesc-ii-364</t>
  </si>
  <si>
    <t>Zaburzenia zachowania u pacjenta z otępieniem – jak bezpiecznie leczyć?</t>
  </si>
  <si>
    <t>/wideo/konferencja-pierwsze-kroki-w-poz-psychiatria-neurologia-bol-159/zaburzenia-zachowania-u-pacjenta-z-otepieniem-jak-bezpiecznie-leczyc-365</t>
  </si>
  <si>
    <t>Opioidy w POZ – kiedy i dla kogo?</t>
  </si>
  <si>
    <t>/wideo/konferencja-pierwsze-kroki-w-poz-psychiatria-neurologia-bol-159/opioidy-w-poz-kiedy-i-dla-kogo-366</t>
  </si>
  <si>
    <t>Pregabalina w POZ</t>
  </si>
  <si>
    <t>/wideo/konferencja-pierwsze-kroki-w-poz-psychiatria-neurologia-bol-159/pregabalina-w-poz-367</t>
  </si>
  <si>
    <t>Panel dyskusyjny, część III</t>
  </si>
  <si>
    <t>/wideo/konferencja-pierwsze-kroki-w-poz-psychiatria-neurologia-bol-159/panel-dyskusyjny-czesc-iii-368</t>
  </si>
  <si>
    <t>Co lekarz POZ powinien wiedzieć o ADHD?</t>
  </si>
  <si>
    <t>/wideo/konferencja-pierwsze-kroki-w-poz-psychiatria-neurologia-bol-159/co-lekarz-poz-powinien-wiedziec-o-adhd-369</t>
  </si>
  <si>
    <t>Ból neuropatyczny i ból zapalny – zasady leczenia</t>
  </si>
  <si>
    <t>/wideo/konferencja-pierwsze-kroki-w-poz-psychiatria-neurologia-bol-159/bol-neuropatyczny-i-bol-zapalny-zasady-leczenia-370</t>
  </si>
  <si>
    <t>Panel dyskusyjny, część IV</t>
  </si>
  <si>
    <t>/wideo/konferencja-pierwsze-kroki-w-poz-psychiatria-neurologia-bol-159/panel-dyskusyjny-czesc-iv-371</t>
  </si>
  <si>
    <t>Konferencja Pierwsze kroki w POZ - gastroenterologia 2025</t>
  </si>
  <si>
    <t>Data publikacji: 27.11.2025</t>
  </si>
  <si>
    <t xml:space="preserve">Zaburzenia wchłaniania - kiedy podejrzewać? Diagnostyka i leczenie </t>
  </si>
  <si>
    <t>SIBO</t>
  </si>
  <si>
    <t>Probiotyki wieloszczepowe w utrzymywaniu remisji zespołów nakładania IBS i IBD</t>
  </si>
  <si>
    <t>Mikroskopowe zapalenie jelita grubego</t>
  </si>
  <si>
    <t xml:space="preserve">Wszystko o uchyłkach </t>
  </si>
  <si>
    <t>Postępy w zakażeniu leczenia Helicobacter pylori. - aktualne dane z Europejskiego Rejestru Leczenia H. pylor</t>
  </si>
  <si>
    <t xml:space="preserve">Celiakia, a może coś jeszcze? </t>
  </si>
  <si>
    <t xml:space="preserve">Choroby odzwierzęce i pasożytnicze przewodu pokarmowego </t>
  </si>
  <si>
    <t xml:space="preserve">Zaparcie czynnościowe u dzieci - od rozpoznania do skutecznego leczenia </t>
  </si>
  <si>
    <t xml:space="preserve">Oś mózg-jelito </t>
  </si>
  <si>
    <t xml:space="preserve">Eozynofilowe zapalenie przełyku </t>
  </si>
  <si>
    <t xml:space="preserve">Choroba Wilsona - co trzeba wiedzieć </t>
  </si>
  <si>
    <t>Konferencja Pierwsze kroki w POZ - gastroenterologia 2024</t>
  </si>
  <si>
    <t>Data publikacji:</t>
  </si>
  <si>
    <t>IBS – objawy, leczenie. Krew utajona w kale dodatnia – czy zawsze wykonywać kolonoskopię? SIBO – objawy, leczenie.</t>
  </si>
  <si>
    <t>Colitis ulcerosa w praktyce lekarza rodzinnego</t>
  </si>
  <si>
    <t>Wskazania do kontynuacji/odstawienia włączonych IPP</t>
  </si>
  <si>
    <t>Alergie pokarmowe</t>
  </si>
  <si>
    <t>GERD – diagnostyka, leczenie, nadzór</t>
  </si>
  <si>
    <t>Diagnostyka i eradykacja Helicobacter pylori.</t>
  </si>
  <si>
    <t>Polipy żołądka i jelita grubego – nadzór po polipektomii</t>
  </si>
  <si>
    <t>Przewlekłe zapalenie żołądka – co zrobić dalej?</t>
  </si>
  <si>
    <t>Jak łatwo rozpoznać stłuszczenie wątroby w gabinecie lekarza POZ?</t>
  </si>
  <si>
    <t>Cholestatyczne i autoimmunologiczne choroby wątroby – wstępna diagnostyka w POZ i leczenie podtrzymujące</t>
  </si>
  <si>
    <t>Cholestatyczne i autoimmunologiczne choroby wątroby u dzieci – jak rozpoznać w POZ?</t>
  </si>
  <si>
    <t>Jakie żelazo wybrać, aby uniknąć dyskomfortu?</t>
  </si>
  <si>
    <t>Odtworzenia</t>
  </si>
  <si>
    <t>Czas trwania</t>
  </si>
  <si>
    <t>WatchTime [min]:</t>
  </si>
  <si>
    <t>Średni WatchTime/Użutkownika:</t>
  </si>
  <si>
    <t>Czy powodzenie terapii eradykacyjnej zawsze tkwi w doborze schematu leczenia?</t>
  </si>
  <si>
    <t>Zrozumieć NAFLD/MASLD</t>
  </si>
  <si>
    <t>Nowe aspekty probiotykoterapii w zespole jelita nadwrażliwego</t>
  </si>
  <si>
    <t>Panel dyskusyjny - cz. I</t>
  </si>
  <si>
    <t>Leczenie choroby refluksowej – rola terapii łączonej</t>
  </si>
  <si>
    <t>Diagnostyka i leczenie niedokrwistości w nieswoistych zapalnych chorobach jelit</t>
  </si>
  <si>
    <t>Jak dobrze przygotować pacjenta do kolonoskopii?</t>
  </si>
  <si>
    <t>Panel dyskusyjny – cz. II</t>
  </si>
  <si>
    <t>Edycja 2</t>
  </si>
  <si>
    <t>Opiekun: Paula</t>
  </si>
  <si>
    <t>Konferencja Pierwsze kroki w POZ - kardiologia 2025</t>
  </si>
  <si>
    <t>Data publikacji 12.12.2025</t>
  </si>
  <si>
    <t>Jak pomóc pacjentowi z migotaniem przedsionków? Kiedy kierować do kardiologa?</t>
  </si>
  <si>
    <t>Nie takie EKG straszne jak je rysują – co zrobić gdy linie nie są proste? O arytmiach i zmianach ST-T</t>
  </si>
  <si>
    <t>736</t>
  </si>
  <si>
    <t>Servier           3</t>
  </si>
  <si>
    <t>Kontinuum sercowo-naczyniowe. Pacjent kardiologiczny i metaboliczny w świetle wytycznych PTNT/PTK 2024</t>
  </si>
  <si>
    <t>Servier</t>
  </si>
  <si>
    <t>Niewydolność serca – kiedy skierować do szpitala, a kiedy ambulatoryjnie do kardiologa?</t>
  </si>
  <si>
    <t>Kompendium wiedzy o urządzeniach wszczepianych (stymulator/ICD) dla lekarza POZ</t>
  </si>
  <si>
    <t>Astra Zeneca 7</t>
  </si>
  <si>
    <t>Znamy ale czy działamy – czyli jak efektywnie w gabinecie POZ wdrażać optymalizację terapii pacjenta z HF</t>
  </si>
  <si>
    <t>Astra</t>
  </si>
  <si>
    <t>Leczenie przeciwkrzepliwe i przeciwpłytkowe przed i po operacjach/zabiegach</t>
  </si>
  <si>
    <t>Leczenie zaburzeń rytmu – liczne dodatkowe zaburzenia komorowe</t>
  </si>
  <si>
    <t>Polpharma   11</t>
  </si>
  <si>
    <t>Których pacjentów i jak leczyć przeciwkrzepliwie?</t>
  </si>
  <si>
    <t>Polpharma</t>
  </si>
  <si>
    <t>Sesja 3, panel dyskusyjny</t>
  </si>
  <si>
    <t>Leczenie hipolipemizujące u pacjenta po zawale serca lub po planowej implantacji stentu</t>
  </si>
  <si>
    <t>Jak leczyć przeciwzakrzepowo chorego po plastyce tętnicy - planowej lub po zawale?</t>
  </si>
  <si>
    <t>Leki przeciwzakrzepowe i przeciwdławicowe w chorobie wieńcowej? Co? Gdzie? Kiedy i jak?</t>
  </si>
  <si>
    <t>2 516</t>
  </si>
  <si>
    <t>I</t>
  </si>
  <si>
    <t>Nieprawidłowa glikemia na czczo - prof. Beata Mrozikiewicz-Rakowska</t>
  </si>
  <si>
    <t>Ból w klatce piersiowej - dr n. med. Łukasz Januszkiewicz</t>
  </si>
  <si>
    <t>Kołatanie serca - dr hab. n. med. i n. o zdr. Paweł Balsam</t>
  </si>
  <si>
    <t>Duszność - dr hab. n. med. Krzysztof Ozierański</t>
  </si>
  <si>
    <t>Zaostrzenie niewydolności serca - dr hab. n. med. i n. o zdr. Paweł Balsam</t>
  </si>
  <si>
    <t>Ablacja - Lek. Bartosz Krzowski</t>
  </si>
  <si>
    <t>Epizod zatorowości płucnej - Dr n. med. Aneta Klotzka</t>
  </si>
  <si>
    <t>Zawał serca - Dr hab. n. med. Krzysztof Ozierański</t>
  </si>
  <si>
    <t>Edycja</t>
  </si>
  <si>
    <t>II</t>
  </si>
  <si>
    <t>Wytyczne leczenia nadciśnienia tętniczego 2023</t>
  </si>
  <si>
    <t>Pacjent kardio-metaboliczny z NT</t>
  </si>
  <si>
    <t>Wytyczne ESH i ESC 2023 – nowa odsłona beta-adrenolityków w terapii nadciśnienia tętniczego i niewydolności serca?</t>
  </si>
  <si>
    <t>Panel dyskusyjny – część I</t>
  </si>
  <si>
    <t>Pacjent z niewydolnością serca i PChN – jak zarządzić ryzykiem pacjenta?</t>
  </si>
  <si>
    <t>Aktualizacja wytycznych leczenia niewydolności serca 2023</t>
  </si>
  <si>
    <t>Panel dyskusyjny – część II</t>
  </si>
  <si>
    <t>Wytyczne leczenia migotania przedsionków 2020</t>
  </si>
  <si>
    <t>Inicjacja terapii NOAC w gabinecie POZ</t>
  </si>
  <si>
    <t>Panel dyskusyjny – część III</t>
  </si>
  <si>
    <t>Wytyczne CVD i diabetologiczne 2023</t>
  </si>
  <si>
    <t>Implantowany, długoterminowy sensor ciągłego pomiaru stężenia glukozy (CGM) w zasięgu ręki!</t>
  </si>
  <si>
    <t>Diagnoza cukrzycy w gabinecie lekarza POZ</t>
  </si>
  <si>
    <t>Panel dyskusyjny – część IV</t>
  </si>
  <si>
    <t>Wyzwania w leczeniu zaburzeń lipidowych w Polsce</t>
  </si>
  <si>
    <t>Wytyczne prewencji CVD 2023 – dla lekarza POZ</t>
  </si>
  <si>
    <t>Rola magnezu w prewencji chorób sercowo-naczyniowych</t>
  </si>
  <si>
    <t>Rola potasu w prewencji chorób sercowo-naczyniowych</t>
  </si>
  <si>
    <t>Pacjent z niedokrwistością z niedoboru żelaza</t>
  </si>
  <si>
    <t>Panel dyskusyjny – część V</t>
  </si>
  <si>
    <t>Jak diagnozować i leczyć powikłania cukrzycy typu 2?</t>
  </si>
  <si>
    <t>Panel dyskusyjny – część VI</t>
  </si>
  <si>
    <t>Najnowsze wytyczne ostrych zespołów wieńcowych</t>
  </si>
  <si>
    <t>Pacjent z przewlekłym zespołem wieńcowym, po plastyce wieńcowej, z za małym naczyniem do stentowania, u którego trzeba włączyć leczenie przeciwdławicowe</t>
  </si>
  <si>
    <t>Panel dyskusyjny – część VII</t>
  </si>
  <si>
    <t>Wszystko wszędzie naraz – jak wpływa na nasze serce?</t>
  </si>
  <si>
    <t>Konferencja all</t>
  </si>
  <si>
    <t>Edycja 3</t>
  </si>
  <si>
    <t>Data publikacji 18.12.2025</t>
  </si>
  <si>
    <t>Jak nie diagnozować i nie leczyć alergii pokarmowej u dzieci?</t>
  </si>
  <si>
    <t>Kiedy w POChP zlecać wziewne glikokortykosteroidy?</t>
  </si>
  <si>
    <t>287</t>
  </si>
  <si>
    <t>Szczepienie na krztusiec w dzieciństwie: jak zbudować fundament silnej odporności na przyszłość?</t>
  </si>
  <si>
    <t>Biomed</t>
  </si>
  <si>
    <t>Sesja 1, panel dyskusyjny</t>
  </si>
  <si>
    <t>Najczęstsze zmiany skórne wieku podeszłego</t>
  </si>
  <si>
    <t>Stany nagłe w dermatologii</t>
  </si>
  <si>
    <t>Łuszczyca - jak przygotować pacjenta do leczenia w programie lekowym krok po kroku</t>
  </si>
  <si>
    <t>Almirall</t>
  </si>
  <si>
    <t>Sesja 2, panel dyskusyjny</t>
  </si>
  <si>
    <t>Zapalenie zatok przynosowych - diagnostyka i leczenie w pigułce</t>
  </si>
  <si>
    <t>Astma niekontrolowana u dziecka: jak intensyfikować leczenie i kiedy do specjalisty?</t>
  </si>
  <si>
    <t>Jak dobrać optymalny inhalator?</t>
  </si>
  <si>
    <t>Orion</t>
  </si>
  <si>
    <t>Grzybice skóry i paznokci - wciąż aktualny problem</t>
  </si>
  <si>
    <t>Najczęstsze zakażenia skóry i tkanki podskórnej</t>
  </si>
  <si>
    <t>AZS - jak przygotować pacjenta do leczenia w programie lekowym krok po kroku?</t>
  </si>
  <si>
    <t>Sesja 4, panel dyskusyjny</t>
  </si>
  <si>
    <t>Konferencja Pierwsze kroki w POZ - dermatologia i reumatologia</t>
  </si>
  <si>
    <t>Statystyki Live</t>
  </si>
  <si>
    <t>Zarejestrowanych</t>
  </si>
  <si>
    <t>Uczestników</t>
  </si>
  <si>
    <t>Śr. czas uczestnictwa [min]</t>
  </si>
  <si>
    <t>Statystyki oglądalności zapisu z wydarzenia</t>
  </si>
  <si>
    <t>% odtworzeń/użytkownika</t>
  </si>
  <si>
    <t>WatchTime:</t>
  </si>
  <si>
    <t>Śr. WatchTime:</t>
  </si>
  <si>
    <t>Pułapki diagnostyczne – jak właściwie rozpoznać AZS u dzieci i dorosłych</t>
  </si>
  <si>
    <t>AZS – jak skutecznie leczyć miejscowo i ogólnie?</t>
  </si>
  <si>
    <t>Panel dyskusyjny – cz. 1</t>
  </si>
  <si>
    <t>Rozpoznanie i diagnostyka pokrzywki ostrej i przewlekłej oraz aktualne zalecenia terapeutyczne w świetle aktualnych wytycznych</t>
  </si>
  <si>
    <t>Grzybice skóry i paznokci – wciąż aktualny problem</t>
  </si>
  <si>
    <t>Trądzik zwykły – fakty i mity na temat leczenia najczęstszej dermatozy</t>
  </si>
  <si>
    <t>Panel dyskusyjny – cz. 2</t>
  </si>
  <si>
    <t>Łuszczyca jako choroba ogólnoustrojowa. Nowoczesne leczenie łuszczycy plackowatej – co lekarz POZ powinien wiedzieć o lekach miejscowych i leczeniu biologicznym.</t>
  </si>
  <si>
    <t>Panel dyskusyjny – cz. 3</t>
  </si>
  <si>
    <t>Które objawy z układu ruchu wymagają szybkiego skierowania do reumatologa?</t>
  </si>
  <si>
    <t>Leczenie reumatoidalnego i łuszczycowego zapalenia stawów. Kiedy, czym i jak długo?</t>
  </si>
  <si>
    <t>Panel dyskusyjny – cz. 4</t>
  </si>
  <si>
    <t>SUMA</t>
  </si>
  <si>
    <t>Konferencja SwP- Pediatria</t>
  </si>
  <si>
    <t>Data publikacji: 23.12.2025</t>
  </si>
  <si>
    <t>Pediatria jakiej nie znacie, czyli co się zmieniło na przestrzeni lat w pediatrii</t>
  </si>
  <si>
    <t>AI w medycynie – realna pomoc czy zagrożenie</t>
  </si>
  <si>
    <t>Pediatrzy w dobie wielolekooporności – odległa przyszłość czy terażniejszość?</t>
  </si>
  <si>
    <t>Miejsce szczepień w pediatrii</t>
  </si>
  <si>
    <t>Metody nieswoiste zapobiegania infekcjom dróg oddechowych</t>
  </si>
  <si>
    <t>Jak się dogadać? Kompetencje społeczne w pracy pediatrów</t>
  </si>
  <si>
    <t>Probiotyki w trzech słowach</t>
  </si>
  <si>
    <t>Najczęstsze błędy pediatrów w rozpoznawaniu schorzeń gastrologicznych</t>
  </si>
  <si>
    <t>Boli mnie brzuch – czyli wszystko o zaburzeniach interakcji jelito-mózg i chaosie diet eliminacyjnych</t>
  </si>
  <si>
    <t>SOR - czym jest i jakich pacjentów tam kierować?</t>
  </si>
  <si>
    <t>Stany ostre w pediatrii, czyli na co zwrócić szczególną uwagę</t>
  </si>
  <si>
    <t>Sepsa w 3 krokach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</si>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</sst>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mm.yyyy"/>
    <numFmt numFmtId="165" formatCode="m.yyyy"/>
    <numFmt numFmtId="166" formatCode="dd.mm.yyyy"/>
    <numFmt numFmtId="167" formatCode="d.m.yyyy"/>
    <numFmt numFmtId="168" formatCode="#,##0.00\ [$zł-415]"/>
    <numFmt numFmtId="169" formatCode="hh:mm:ss"/>
    <numFmt numFmtId="170" formatCode="hh:mm"/>
    <numFmt numFmtId="171" formatCode="d&quot;.&quot;mm&quot;.&quot;yyyy"/>
    <numFmt numFmtId="172" formatCode="0.0%"/>
    <numFmt numFmtId="173" formatCode="HH:mm:ss"/>
  </numFmts>
  <fonts count="3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9.0"/>
      <color rgb="FF1F1F1F"/>
      <name val="&quot;Google Sans&quot;"/>
    </font>
    <font>
      <b/>
      <color theme="1"/>
      <name val="Arial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u/>
      <color rgb="FF0000FF"/>
    </font>
    <font>
      <u/>
      <color rgb="FF0000FF"/>
      <name val="Arial"/>
    </font>
    <font>
      <u/>
      <color rgb="FF0000FF"/>
      <name val="Arial"/>
    </font>
    <font>
      <b/>
      <sz val="15.0"/>
      <color theme="1"/>
      <name val="Arial"/>
      <scheme val="minor"/>
    </font>
    <font>
      <b/>
      <color rgb="FFFF0000"/>
      <name val="Arial"/>
      <scheme val="minor"/>
    </font>
    <font>
      <b/>
      <color rgb="FFFF0000"/>
      <name val="Arial"/>
    </font>
    <font>
      <b/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color rgb="FFFFFFFF"/>
      <name val="Arial"/>
      <scheme val="minor"/>
    </font>
    <font>
      <b/>
      <sz val="15.0"/>
      <color theme="1"/>
      <name val="Arial"/>
    </font>
    <font>
      <b/>
      <u/>
      <color rgb="FF0000FF"/>
      <name val="Arial"/>
    </font>
    <font>
      <b/>
      <u/>
      <color rgb="FF0000FF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color rgb="FF000000"/>
      <name val="Arial"/>
      <scheme val="minor"/>
    </font>
    <font>
      <u/>
      <color rgb="FF0000FF"/>
      <name val="Arial"/>
    </font>
    <font>
      <b/>
      <sz val="12.0"/>
      <color theme="1"/>
      <name val="Arial"/>
      <scheme val="minor"/>
    </font>
    <font>
      <b/>
      <sz val="13.0"/>
      <color theme="1"/>
      <name val="Arial"/>
      <scheme val="minor"/>
    </font>
    <font>
      <u/>
      <color rgb="FF0000FF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0000FF"/>
        <bgColor rgb="FF0000FF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</fills>
  <borders count="3">
    <border/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7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2" fontId="2" numFmtId="9" xfId="0" applyFont="1" applyNumberFormat="1"/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3" fontId="1" numFmtId="0" xfId="0" applyAlignment="1" applyFill="1" applyFont="1">
      <alignment readingOrder="0"/>
    </xf>
    <xf borderId="0" fillId="0" fontId="1" numFmtId="0" xfId="0" applyAlignment="1" applyFont="1">
      <alignment horizontal="left" readingOrder="0"/>
    </xf>
    <xf borderId="0" fillId="0" fontId="2" numFmtId="9" xfId="0" applyFont="1" applyNumberFormat="1"/>
    <xf borderId="0" fillId="3" fontId="2" numFmtId="9" xfId="0" applyFont="1" applyNumberFormat="1"/>
    <xf borderId="0" fillId="0" fontId="2" numFmtId="0" xfId="0" applyAlignment="1" applyFont="1">
      <alignment horizontal="left" readingOrder="0"/>
    </xf>
    <xf borderId="0" fillId="0" fontId="2" numFmtId="9" xfId="0" applyAlignment="1" applyFont="1" applyNumberFormat="1">
      <alignment readingOrder="0"/>
    </xf>
    <xf borderId="0" fillId="0" fontId="1" numFmtId="0" xfId="0" applyFont="1"/>
    <xf borderId="0" fillId="0" fontId="2" numFmtId="166" xfId="0" applyAlignment="1" applyFont="1" applyNumberFormat="1">
      <alignment readingOrder="0"/>
    </xf>
    <xf borderId="0" fillId="3" fontId="1" numFmtId="0" xfId="0" applyAlignment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1" xfId="0" applyBorder="1" applyFont="1" applyNumberFormat="1"/>
    <xf borderId="1" fillId="0" fontId="2" numFmtId="9" xfId="0" applyBorder="1" applyFont="1" applyNumberFormat="1"/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/>
    </xf>
    <xf borderId="0" fillId="2" fontId="2" numFmtId="0" xfId="0" applyAlignment="1" applyFont="1">
      <alignment readingOrder="0"/>
    </xf>
    <xf borderId="0" fillId="3" fontId="2" numFmtId="0" xfId="0" applyAlignment="1" applyFont="1">
      <alignment horizontal="center" readingOrder="0"/>
    </xf>
    <xf borderId="0" fillId="4" fontId="3" numFmtId="0" xfId="0" applyAlignment="1" applyFill="1" applyFont="1">
      <alignment readingOrder="0"/>
    </xf>
    <xf borderId="0" fillId="0" fontId="2" numFmtId="0" xfId="0" applyFont="1"/>
    <xf borderId="0" fillId="0" fontId="2" numFmtId="1" xfId="0" applyFont="1" applyNumberFormat="1"/>
    <xf borderId="0" fillId="3" fontId="4" numFmtId="0" xfId="0" applyAlignment="1" applyFont="1">
      <alignment readingOrder="0" shrinkToFit="0" vertical="bottom" wrapText="0"/>
    </xf>
    <xf borderId="0" fillId="3" fontId="4" numFmtId="0" xfId="0" applyAlignment="1" applyFont="1">
      <alignment shrinkToFit="0" vertical="bottom" wrapText="0"/>
    </xf>
    <xf borderId="0" fillId="3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3" fontId="4" numFmtId="0" xfId="0" applyAlignment="1" applyFont="1">
      <alignment horizontal="center" vertical="bottom"/>
    </xf>
    <xf borderId="0" fillId="3" fontId="4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5" numFmtId="166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5" numFmtId="10" xfId="0" applyAlignment="1" applyFont="1" applyNumberFormat="1">
      <alignment horizontal="center" vertical="bottom"/>
    </xf>
    <xf borderId="0" fillId="0" fontId="5" numFmtId="9" xfId="0" applyAlignment="1" applyFont="1" applyNumberFormat="1">
      <alignment horizontal="right" vertical="bottom"/>
    </xf>
    <xf borderId="0" fillId="0" fontId="7" numFmtId="0" xfId="0" applyAlignment="1" applyFont="1">
      <alignment shrinkToFit="0" vertical="bottom" wrapText="0"/>
    </xf>
    <xf borderId="0" fillId="0" fontId="5" numFmtId="167" xfId="0" applyAlignment="1" applyFont="1" applyNumberFormat="1">
      <alignment horizontal="right"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vertical="bottom"/>
    </xf>
    <xf borderId="0" fillId="3" fontId="8" numFmtId="0" xfId="0" applyAlignment="1" applyFont="1">
      <alignment vertical="bottom"/>
    </xf>
    <xf borderId="0" fillId="3" fontId="5" numFmtId="166" xfId="0" applyAlignment="1" applyFont="1" applyNumberFormat="1">
      <alignment horizontal="right" vertical="bottom"/>
    </xf>
    <xf borderId="0" fillId="3" fontId="5" numFmtId="0" xfId="0" applyAlignment="1" applyFont="1">
      <alignment vertical="bottom"/>
    </xf>
    <xf borderId="0" fillId="3" fontId="5" numFmtId="0" xfId="0" applyAlignment="1" applyFont="1">
      <alignment horizontal="center" vertical="bottom"/>
    </xf>
    <xf borderId="0" fillId="3" fontId="9" numFmtId="0" xfId="0" applyAlignment="1" applyFont="1">
      <alignment shrinkToFit="0" vertical="bottom" wrapText="0"/>
    </xf>
    <xf borderId="0" fillId="3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9" xfId="0" applyAlignment="1" applyFont="1" applyNumberFormat="1">
      <alignment horizontal="right" readingOrder="0" vertical="bottom"/>
    </xf>
    <xf borderId="0" fillId="0" fontId="5" numFmtId="167" xfId="0" applyAlignment="1" applyFont="1" applyNumberFormat="1">
      <alignment vertical="bottom"/>
    </xf>
    <xf borderId="0" fillId="0" fontId="5" numFmtId="0" xfId="0" applyAlignment="1" applyFont="1">
      <alignment horizontal="center" readingOrder="0" vertical="bottom"/>
    </xf>
    <xf borderId="0" fillId="0" fontId="10" numFmtId="0" xfId="0" applyAlignment="1" applyFont="1">
      <alignment shrinkToFit="0" vertical="bottom" wrapText="0"/>
    </xf>
    <xf borderId="0" fillId="0" fontId="5" numFmtId="168" xfId="0" applyAlignment="1" applyFont="1" applyNumberFormat="1">
      <alignment horizontal="right" vertical="bottom"/>
    </xf>
    <xf borderId="0" fillId="0" fontId="5" numFmtId="166" xfId="0" applyAlignment="1" applyFont="1" applyNumberFormat="1">
      <alignment readingOrder="0" vertical="bottom"/>
    </xf>
    <xf borderId="0" fillId="0" fontId="5" numFmtId="10" xfId="0" applyAlignment="1" applyFont="1" applyNumberFormat="1">
      <alignment vertical="bottom"/>
    </xf>
    <xf borderId="0" fillId="0" fontId="5" numFmtId="168" xfId="0" applyAlignment="1" applyFont="1" applyNumberFormat="1">
      <alignment vertical="bottom"/>
    </xf>
    <xf borderId="0" fillId="0" fontId="5" numFmtId="168" xfId="0" applyAlignment="1" applyFont="1" applyNumberFormat="1">
      <alignment readingOrder="0" vertical="bottom"/>
    </xf>
    <xf borderId="0" fillId="0" fontId="5" numFmtId="166" xfId="0" applyAlignment="1" applyFont="1" applyNumberFormat="1">
      <alignment horizontal="right" readingOrder="0" vertical="bottom"/>
    </xf>
    <xf borderId="0" fillId="0" fontId="5" numFmtId="1" xfId="0" applyAlignment="1" applyFont="1" applyNumberFormat="1">
      <alignment horizontal="right" vertical="bottom"/>
    </xf>
    <xf borderId="0" fillId="0" fontId="11" numFmtId="0" xfId="0" applyAlignment="1" applyFont="1">
      <alignment readingOrder="0" vertical="bottom"/>
    </xf>
    <xf borderId="0" fillId="0" fontId="5" numFmtId="9" xfId="0" applyAlignment="1" applyFont="1" applyNumberFormat="1">
      <alignment vertical="bottom"/>
    </xf>
    <xf borderId="0" fillId="0" fontId="2" numFmtId="0" xfId="0" applyAlignment="1" applyFont="1">
      <alignment readingOrder="0" shrinkToFit="0" wrapText="0"/>
    </xf>
    <xf borderId="0" fillId="4" fontId="5" numFmtId="0" xfId="0" applyAlignment="1" applyFont="1">
      <alignment horizontal="center" readingOrder="0" vertical="bottom"/>
    </xf>
    <xf borderId="0" fillId="4" fontId="5" numFmtId="10" xfId="0" applyAlignment="1" applyFont="1" applyNumberFormat="1">
      <alignment horizontal="center" vertical="bottom"/>
    </xf>
    <xf borderId="0" fillId="4" fontId="5" numFmtId="169" xfId="0" applyAlignment="1" applyFont="1" applyNumberFormat="1">
      <alignment horizontal="center" readingOrder="0" vertical="bottom"/>
    </xf>
    <xf borderId="0" fillId="4" fontId="5" numFmtId="0" xfId="0" applyAlignment="1" applyFont="1">
      <alignment shrinkToFit="0" vertical="bottom" wrapText="0"/>
    </xf>
    <xf borderId="0" fillId="4" fontId="5" numFmtId="0" xfId="0" applyAlignment="1" applyFont="1">
      <alignment horizontal="right" readingOrder="0" vertical="bottom"/>
    </xf>
    <xf borderId="0" fillId="4" fontId="5" numFmtId="0" xfId="0" applyAlignment="1" applyFont="1">
      <alignment vertical="bottom"/>
    </xf>
    <xf borderId="0" fillId="0" fontId="12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5" fontId="5" numFmtId="0" xfId="0" applyAlignment="1" applyFill="1" applyFont="1">
      <alignment horizontal="left" readingOrder="0" vertical="bottom"/>
    </xf>
    <xf borderId="0" fillId="5" fontId="13" numFmtId="0" xfId="0" applyAlignment="1" applyFont="1">
      <alignment horizontal="left" readingOrder="0" vertical="bottom"/>
    </xf>
    <xf borderId="0" fillId="5" fontId="5" numFmtId="0" xfId="0" applyAlignment="1" applyFont="1">
      <alignment horizontal="center" readingOrder="0" vertical="bottom"/>
    </xf>
    <xf borderId="0" fillId="5" fontId="4" numFmtId="0" xfId="0" applyAlignment="1" applyFont="1">
      <alignment horizontal="center" readingOrder="0" vertical="bottom"/>
    </xf>
    <xf borderId="0" fillId="5" fontId="5" numFmtId="10" xfId="0" applyAlignment="1" applyFont="1" applyNumberFormat="1">
      <alignment horizontal="center" vertical="bottom"/>
    </xf>
    <xf borderId="0" fillId="5" fontId="5" numFmtId="169" xfId="0" applyAlignment="1" applyFont="1" applyNumberFormat="1">
      <alignment horizontal="center" readingOrder="0" vertical="bottom"/>
    </xf>
    <xf borderId="0" fillId="5" fontId="5" numFmtId="0" xfId="0" applyAlignment="1" applyFont="1">
      <alignment shrinkToFit="0" vertical="bottom" wrapText="0"/>
    </xf>
    <xf borderId="0" fillId="5" fontId="5" numFmtId="0" xfId="0" applyAlignment="1" applyFont="1">
      <alignment horizontal="right" readingOrder="0" vertical="bottom"/>
    </xf>
    <xf borderId="0" fillId="6" fontId="5" numFmtId="0" xfId="0" applyAlignment="1" applyFill="1" applyFont="1">
      <alignment horizontal="left" readingOrder="0" vertical="bottom"/>
    </xf>
    <xf borderId="0" fillId="6" fontId="14" numFmtId="0" xfId="0" applyAlignment="1" applyFont="1">
      <alignment horizontal="left" readingOrder="0" vertical="bottom"/>
    </xf>
    <xf borderId="0" fillId="6" fontId="5" numFmtId="0" xfId="0" applyAlignment="1" applyFont="1">
      <alignment horizontal="center" readingOrder="0" vertical="bottom"/>
    </xf>
    <xf borderId="0" fillId="6" fontId="5" numFmtId="10" xfId="0" applyAlignment="1" applyFont="1" applyNumberFormat="1">
      <alignment horizontal="center" vertical="bottom"/>
    </xf>
    <xf borderId="0" fillId="6" fontId="5" numFmtId="169" xfId="0" applyAlignment="1" applyFont="1" applyNumberFormat="1">
      <alignment horizontal="center" readingOrder="0" vertical="bottom"/>
    </xf>
    <xf borderId="0" fillId="6" fontId="5" numFmtId="0" xfId="0" applyAlignment="1" applyFont="1">
      <alignment shrinkToFit="0" vertical="bottom" wrapText="0"/>
    </xf>
    <xf borderId="0" fillId="6" fontId="5" numFmtId="0" xfId="0" applyAlignment="1" applyFont="1">
      <alignment readingOrder="0" vertical="bottom"/>
    </xf>
    <xf borderId="0" fillId="6" fontId="5" numFmtId="0" xfId="0" applyAlignment="1" applyFont="1">
      <alignment vertical="bottom"/>
    </xf>
    <xf borderId="2" fillId="6" fontId="5" numFmtId="0" xfId="0" applyAlignment="1" applyBorder="1" applyFont="1">
      <alignment shrinkToFit="0" vertical="bottom" wrapText="0"/>
    </xf>
    <xf borderId="0" fillId="4" fontId="1" numFmtId="0" xfId="0" applyAlignment="1" applyFont="1">
      <alignment readingOrder="0"/>
    </xf>
    <xf borderId="0" fillId="4" fontId="1" numFmtId="0" xfId="0" applyAlignment="1" applyFont="1">
      <alignment horizontal="center" readingOrder="0"/>
    </xf>
    <xf borderId="0" fillId="4" fontId="2" numFmtId="0" xfId="0" applyFont="1"/>
    <xf borderId="0" fillId="4" fontId="15" numFmtId="0" xfId="0" applyAlignment="1" applyFont="1">
      <alignment readingOrder="0"/>
    </xf>
    <xf borderId="0" fillId="4" fontId="16" numFmtId="0" xfId="0" applyAlignment="1" applyFont="1">
      <alignment horizontal="center" readingOrder="0" vertical="center"/>
    </xf>
    <xf borderId="0" fillId="4" fontId="17" numFmtId="166" xfId="0" applyAlignment="1" applyFont="1" applyNumberFormat="1">
      <alignment horizontal="center" readingOrder="0" vertical="center"/>
    </xf>
    <xf borderId="0" fillId="4" fontId="1" numFmtId="0" xfId="0" applyAlignment="1" applyFont="1">
      <alignment horizontal="center" readingOrder="0" vertical="center"/>
    </xf>
    <xf borderId="0" fillId="4" fontId="1" numFmtId="167" xfId="0" applyAlignment="1" applyFont="1" applyNumberFormat="1">
      <alignment horizontal="center" readingOrder="0" vertical="center"/>
    </xf>
    <xf borderId="0" fillId="4" fontId="18" numFmtId="0" xfId="0" applyAlignment="1" applyFont="1">
      <alignment horizontal="center" readingOrder="0" vertical="center"/>
    </xf>
    <xf borderId="0" fillId="4" fontId="19" numFmtId="0" xfId="0" applyAlignment="1" applyFont="1">
      <alignment readingOrder="0"/>
    </xf>
    <xf borderId="0" fillId="4" fontId="2" numFmtId="0" xfId="0" applyAlignment="1" applyFont="1">
      <alignment horizontal="center" readingOrder="0"/>
    </xf>
    <xf borderId="0" fillId="4" fontId="2" numFmtId="10" xfId="0" applyAlignment="1" applyFont="1" applyNumberFormat="1">
      <alignment horizontal="center" readingOrder="0"/>
    </xf>
    <xf borderId="0" fillId="4" fontId="2" numFmtId="170" xfId="0" applyAlignment="1" applyFont="1" applyNumberFormat="1">
      <alignment horizontal="center" readingOrder="0"/>
    </xf>
    <xf borderId="0" fillId="4" fontId="2" numFmtId="0" xfId="0" applyAlignment="1" applyFont="1">
      <alignment readingOrder="0"/>
    </xf>
    <xf borderId="0" fillId="5" fontId="1" numFmtId="0" xfId="0" applyAlignment="1" applyFont="1">
      <alignment readingOrder="0"/>
    </xf>
    <xf borderId="0" fillId="5" fontId="20" numFmtId="0" xfId="0" applyAlignment="1" applyFont="1">
      <alignment readingOrder="0"/>
    </xf>
    <xf borderId="0" fillId="5" fontId="2" numFmtId="0" xfId="0" applyAlignment="1" applyFont="1">
      <alignment horizontal="center" readingOrder="0"/>
    </xf>
    <xf borderId="0" fillId="5" fontId="1" numFmtId="0" xfId="0" applyAlignment="1" applyFont="1">
      <alignment horizontal="center" readingOrder="0"/>
    </xf>
    <xf borderId="0" fillId="5" fontId="2" numFmtId="10" xfId="0" applyAlignment="1" applyFont="1" applyNumberFormat="1">
      <alignment horizontal="center" readingOrder="0"/>
    </xf>
    <xf borderId="0" fillId="5" fontId="2" numFmtId="170" xfId="0" applyAlignment="1" applyFont="1" applyNumberFormat="1">
      <alignment horizontal="center" readingOrder="0"/>
    </xf>
    <xf borderId="0" fillId="5" fontId="2" numFmtId="0" xfId="0" applyAlignment="1" applyFont="1">
      <alignment readingOrder="0"/>
    </xf>
    <xf borderId="0" fillId="5" fontId="2" numFmtId="0" xfId="0" applyAlignment="1" applyFont="1">
      <alignment horizontal="right" readingOrder="0"/>
    </xf>
    <xf borderId="0" fillId="5" fontId="2" numFmtId="0" xfId="0" applyFont="1"/>
    <xf borderId="0" fillId="4" fontId="2" numFmtId="0" xfId="0" applyAlignment="1" applyFont="1">
      <alignment horizontal="right"/>
    </xf>
    <xf borderId="0" fillId="6" fontId="1" numFmtId="0" xfId="0" applyAlignment="1" applyFont="1">
      <alignment readingOrder="0"/>
    </xf>
    <xf borderId="0" fillId="6" fontId="21" numFmtId="0" xfId="0" applyAlignment="1" applyFont="1">
      <alignment readingOrder="0"/>
    </xf>
    <xf borderId="0" fillId="6" fontId="2" numFmtId="0" xfId="0" applyAlignment="1" applyFont="1">
      <alignment horizontal="center" readingOrder="0"/>
    </xf>
    <xf borderId="0" fillId="6" fontId="2" numFmtId="10" xfId="0" applyAlignment="1" applyFont="1" applyNumberFormat="1">
      <alignment horizontal="center" readingOrder="0"/>
    </xf>
    <xf borderId="0" fillId="6" fontId="2" numFmtId="170" xfId="0" applyAlignment="1" applyFont="1" applyNumberFormat="1">
      <alignment horizontal="center" readingOrder="0"/>
    </xf>
    <xf borderId="0" fillId="6" fontId="2" numFmtId="0" xfId="0" applyAlignment="1" applyFont="1">
      <alignment readingOrder="0"/>
    </xf>
    <xf borderId="0" fillId="6" fontId="2" numFmtId="0" xfId="0" applyFont="1"/>
    <xf borderId="0" fillId="6" fontId="2" numFmtId="0" xfId="0" applyAlignment="1" applyFont="1">
      <alignment horizontal="right"/>
    </xf>
    <xf borderId="2" fillId="6" fontId="2" numFmtId="0" xfId="0" applyAlignment="1" applyBorder="1" applyFont="1">
      <alignment readingOrder="0"/>
    </xf>
    <xf borderId="1" fillId="4" fontId="1" numFmtId="0" xfId="0" applyAlignment="1" applyBorder="1" applyFont="1">
      <alignment readingOrder="0"/>
    </xf>
    <xf borderId="1" fillId="4" fontId="1" numFmtId="0" xfId="0" applyAlignment="1" applyBorder="1" applyFont="1">
      <alignment horizontal="center" readingOrder="0"/>
    </xf>
    <xf borderId="1" fillId="4" fontId="2" numFmtId="0" xfId="0" applyAlignment="1" applyBorder="1" applyFont="1">
      <alignment readingOrder="0"/>
    </xf>
    <xf borderId="1" fillId="4" fontId="2" numFmtId="0" xfId="0" applyBorder="1" applyFont="1"/>
    <xf borderId="0" fillId="7" fontId="1" numFmtId="0" xfId="0" applyAlignment="1" applyFill="1" applyFont="1">
      <alignment horizontal="center" readingOrder="0" shrinkToFit="0" vertical="center" wrapText="1"/>
    </xf>
    <xf borderId="0" fillId="3" fontId="1" numFmtId="0" xfId="0" applyAlignment="1" applyFont="1">
      <alignment horizontal="center" readingOrder="0" vertical="center"/>
    </xf>
    <xf borderId="0" fillId="3" fontId="1" numFmtId="166" xfId="0" applyAlignment="1" applyFont="1" applyNumberFormat="1">
      <alignment horizontal="center" readingOrder="0" vertical="center"/>
    </xf>
    <xf borderId="0" fillId="5" fontId="1" numFmtId="10" xfId="0" applyAlignment="1" applyFont="1" applyNumberFormat="1">
      <alignment horizontal="center" readingOrder="0"/>
    </xf>
    <xf borderId="0" fillId="8" fontId="1" numFmtId="0" xfId="0" applyAlignment="1" applyFill="1" applyFont="1">
      <alignment readingOrder="0"/>
    </xf>
    <xf borderId="0" fillId="8" fontId="1" numFmtId="0" xfId="0" applyAlignment="1" applyFont="1">
      <alignment horizontal="center" readingOrder="0"/>
    </xf>
    <xf borderId="0" fillId="8" fontId="1" numFmtId="10" xfId="0" applyAlignment="1" applyFont="1" applyNumberFormat="1">
      <alignment horizontal="center" readingOrder="0"/>
    </xf>
    <xf borderId="0" fillId="4" fontId="2" numFmtId="167" xfId="0" applyAlignment="1" applyFont="1" applyNumberFormat="1">
      <alignment readingOrder="0"/>
    </xf>
    <xf borderId="0" fillId="4" fontId="1" numFmtId="166" xfId="0" applyAlignment="1" applyFont="1" applyNumberFormat="1">
      <alignment horizontal="center" readingOrder="0" vertical="center"/>
    </xf>
    <xf borderId="0" fillId="3" fontId="1" numFmtId="0" xfId="0" applyAlignment="1" applyFont="1">
      <alignment horizontal="center" readingOrder="0" shrinkToFit="0" wrapText="1"/>
    </xf>
    <xf borderId="0" fillId="0" fontId="22" numFmtId="0" xfId="0" applyAlignment="1" applyFont="1">
      <alignment readingOrder="0"/>
    </xf>
    <xf borderId="0" fillId="0" fontId="2" numFmtId="9" xfId="0" applyAlignment="1" applyFont="1" applyNumberFormat="1">
      <alignment horizontal="center" readingOrder="0"/>
    </xf>
    <xf borderId="0" fillId="0" fontId="2" numFmtId="169" xfId="0" applyAlignment="1" applyFont="1" applyNumberFormat="1">
      <alignment horizontal="center" readingOrder="0"/>
    </xf>
    <xf borderId="0" fillId="0" fontId="2" numFmtId="10" xfId="0" applyFont="1" applyNumberFormat="1"/>
    <xf borderId="0" fillId="8" fontId="2" numFmtId="0" xfId="0" applyAlignment="1" applyFont="1">
      <alignment readingOrder="0"/>
    </xf>
    <xf borderId="0" fillId="8" fontId="23" numFmtId="0" xfId="0" applyAlignment="1" applyFont="1">
      <alignment readingOrder="0"/>
    </xf>
    <xf borderId="0" fillId="8" fontId="2" numFmtId="0" xfId="0" applyAlignment="1" applyFont="1">
      <alignment horizontal="center" readingOrder="0"/>
    </xf>
    <xf borderId="0" fillId="8" fontId="2" numFmtId="9" xfId="0" applyAlignment="1" applyFont="1" applyNumberFormat="1">
      <alignment horizontal="center" readingOrder="0"/>
    </xf>
    <xf borderId="0" fillId="8" fontId="2" numFmtId="169" xfId="0" applyAlignment="1" applyFont="1" applyNumberFormat="1">
      <alignment horizontal="center" readingOrder="0"/>
    </xf>
    <xf borderId="0" fillId="8" fontId="2" numFmtId="10" xfId="0" applyFont="1" applyNumberFormat="1"/>
    <xf borderId="0" fillId="8" fontId="2" numFmtId="0" xfId="0" applyFont="1"/>
    <xf borderId="1" fillId="0" fontId="2" numFmtId="3" xfId="0" applyAlignment="1" applyBorder="1" applyFont="1" applyNumberFormat="1">
      <alignment horizontal="center" vertical="center"/>
    </xf>
    <xf borderId="1" fillId="0" fontId="2" numFmtId="10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/>
    </xf>
    <xf borderId="1" fillId="0" fontId="2" numFmtId="169" xfId="0" applyAlignment="1" applyBorder="1" applyFont="1" applyNumberFormat="1">
      <alignment horizontal="center" readingOrder="0"/>
    </xf>
    <xf borderId="0" fillId="9" fontId="24" numFmtId="0" xfId="0" applyAlignment="1" applyFill="1" applyFont="1">
      <alignment horizontal="center" readingOrder="0"/>
    </xf>
    <xf borderId="0" fillId="9" fontId="24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10" xfId="0" applyAlignment="1" applyFont="1" applyNumberFormat="1">
      <alignment horizontal="center"/>
    </xf>
    <xf borderId="0" fillId="4" fontId="5" numFmtId="0" xfId="0" applyAlignment="1" applyFont="1">
      <alignment vertical="bottom"/>
    </xf>
    <xf borderId="0" fillId="4" fontId="25" numFmtId="0" xfId="0" applyAlignment="1" applyFont="1">
      <alignment readingOrder="0" vertical="bottom"/>
    </xf>
    <xf borderId="0" fillId="4" fontId="17" numFmtId="0" xfId="0" applyAlignment="1" applyFont="1">
      <alignment horizontal="center" vertical="center"/>
    </xf>
    <xf borderId="0" fillId="4" fontId="26" numFmtId="0" xfId="0" applyAlignment="1" applyFont="1">
      <alignment horizontal="center" readingOrder="0" vertical="center"/>
    </xf>
    <xf borderId="0" fillId="3" fontId="4" numFmtId="0" xfId="0" applyAlignment="1" applyFont="1">
      <alignment vertical="bottom"/>
    </xf>
    <xf borderId="0" fillId="3" fontId="4" numFmtId="0" xfId="0" applyAlignment="1" applyFont="1">
      <alignment shrinkToFit="0" vertical="bottom" wrapText="0"/>
    </xf>
    <xf borderId="0" fillId="3" fontId="4" numFmtId="0" xfId="0" applyAlignment="1" applyFont="1">
      <alignment horizontal="center" vertical="bottom"/>
    </xf>
    <xf borderId="0" fillId="4" fontId="4" numFmtId="0" xfId="0" applyAlignment="1" applyFont="1">
      <alignment horizontal="right" vertical="bottom"/>
    </xf>
    <xf borderId="0" fillId="4" fontId="5" numFmtId="0" xfId="0" applyAlignment="1" applyFont="1">
      <alignment readingOrder="0" vertical="bottom"/>
    </xf>
    <xf borderId="0" fillId="0" fontId="4" numFmtId="0" xfId="0" applyAlignment="1" applyFont="1">
      <alignment horizontal="right" vertical="bottom"/>
    </xf>
    <xf borderId="0" fillId="5" fontId="4" numFmtId="0" xfId="0" applyAlignment="1" applyFont="1">
      <alignment horizontal="right" vertical="bottom"/>
    </xf>
    <xf borderId="0" fillId="5" fontId="5" numFmtId="0" xfId="0" applyAlignment="1" applyFont="1">
      <alignment horizontal="left" readingOrder="0" vertical="bottom"/>
    </xf>
    <xf borderId="0" fillId="5" fontId="5" numFmtId="0" xfId="0" applyAlignment="1" applyFont="1">
      <alignment horizontal="right" vertical="bottom"/>
    </xf>
    <xf borderId="0" fillId="6" fontId="4" numFmtId="0" xfId="0" applyAlignment="1" applyFont="1">
      <alignment horizontal="right" vertical="bottom"/>
    </xf>
    <xf borderId="0" fillId="6" fontId="5" numFmtId="0" xfId="0" applyAlignment="1" applyFont="1">
      <alignment vertical="bottom"/>
    </xf>
    <xf borderId="0" fillId="5" fontId="5" numFmtId="0" xfId="0" applyAlignment="1" applyFont="1">
      <alignment readingOrder="0" vertical="bottom"/>
    </xf>
    <xf borderId="0" fillId="5" fontId="5" numFmtId="0" xfId="0" applyAlignment="1" applyFont="1">
      <alignment vertical="bottom"/>
    </xf>
    <xf borderId="1" fillId="4" fontId="5" numFmtId="0" xfId="0" applyAlignment="1" applyBorder="1" applyFont="1">
      <alignment vertical="bottom"/>
    </xf>
    <xf borderId="1" fillId="4" fontId="5" numFmtId="0" xfId="0" applyAlignment="1" applyBorder="1" applyFont="1">
      <alignment shrinkToFit="0" vertical="bottom" wrapText="0"/>
    </xf>
    <xf borderId="1" fillId="4" fontId="4" numFmtId="0" xfId="0" applyAlignment="1" applyBorder="1" applyFont="1">
      <alignment horizontal="center" readingOrder="0" vertical="bottom"/>
    </xf>
    <xf borderId="0" fillId="4" fontId="4" numFmtId="0" xfId="0" applyAlignment="1" applyFont="1">
      <alignment shrinkToFit="0" vertical="bottom" wrapText="0"/>
    </xf>
    <xf borderId="1" fillId="4" fontId="5" numFmtId="0" xfId="0" applyAlignment="1" applyBorder="1" applyFont="1">
      <alignment horizontal="right" readingOrder="0" vertical="bottom"/>
    </xf>
    <xf borderId="1" fillId="4" fontId="5" numFmtId="0" xfId="0" applyAlignment="1" applyBorder="1" applyFont="1">
      <alignment vertical="bottom"/>
    </xf>
    <xf borderId="0" fillId="4" fontId="5" numFmtId="0" xfId="0" applyAlignment="1" applyFont="1">
      <alignment horizontal="right" vertical="bottom"/>
    </xf>
    <xf borderId="0" fillId="7" fontId="4" numFmtId="0" xfId="0" applyAlignment="1" applyFont="1">
      <alignment horizontal="center" shrinkToFit="0" vertical="center" wrapText="1"/>
    </xf>
    <xf borderId="0" fillId="3" fontId="4" numFmtId="0" xfId="0" applyAlignment="1" applyFont="1">
      <alignment horizontal="center" vertical="center"/>
    </xf>
    <xf borderId="0" fillId="3" fontId="4" numFmtId="3" xfId="0" applyAlignment="1" applyFont="1" applyNumberFormat="1">
      <alignment horizontal="center" readingOrder="0" vertical="center"/>
    </xf>
    <xf borderId="0" fillId="3" fontId="4" numFmtId="171" xfId="0" applyAlignment="1" applyFont="1" applyNumberFormat="1">
      <alignment horizontal="center" readingOrder="0" vertical="center"/>
    </xf>
    <xf borderId="0" fillId="0" fontId="1" numFmtId="0" xfId="0" applyAlignment="1" applyFont="1">
      <alignment readingOrder="0" shrinkToFit="0" wrapText="0"/>
    </xf>
    <xf borderId="0" fillId="5" fontId="4" numFmtId="0" xfId="0" applyAlignment="1" applyFont="1">
      <alignment horizontal="center" vertical="center"/>
    </xf>
    <xf borderId="0" fillId="5" fontId="4" numFmtId="0" xfId="0" applyAlignment="1" applyFont="1">
      <alignment horizontal="center" readingOrder="0" vertical="center"/>
    </xf>
    <xf borderId="0" fillId="5" fontId="4" numFmtId="10" xfId="0" applyAlignment="1" applyFont="1" applyNumberFormat="1">
      <alignment horizontal="center" readingOrder="0" vertical="center"/>
    </xf>
    <xf borderId="0" fillId="8" fontId="4" numFmtId="0" xfId="0" applyAlignment="1" applyFont="1">
      <alignment horizontal="center" vertical="center"/>
    </xf>
    <xf borderId="0" fillId="8" fontId="4" numFmtId="0" xfId="0" applyAlignment="1" applyFont="1">
      <alignment horizontal="center" readingOrder="0" vertical="center"/>
    </xf>
    <xf borderId="0" fillId="8" fontId="4" numFmtId="10" xfId="0" applyAlignment="1" applyFont="1" applyNumberFormat="1">
      <alignment horizontal="center" readingOrder="0" vertical="center"/>
    </xf>
    <xf borderId="0" fillId="3" fontId="1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2" numFmtId="167" xfId="0" applyAlignment="1" applyFont="1" applyNumberFormat="1">
      <alignment readingOrder="0"/>
    </xf>
    <xf borderId="0" fillId="0" fontId="2" numFmtId="166" xfId="0" applyAlignment="1" applyFont="1" applyNumberFormat="1">
      <alignment readingOrder="0" shrinkToFit="0" wrapText="0"/>
    </xf>
    <xf borderId="0" fillId="0" fontId="2" numFmtId="0" xfId="0" applyAlignment="1" applyFont="1">
      <alignment shrinkToFit="0" wrapText="0"/>
    </xf>
    <xf borderId="0" fillId="0" fontId="16" numFmtId="0" xfId="0" applyAlignment="1" applyFont="1">
      <alignment horizontal="center" readingOrder="0" vertical="center"/>
    </xf>
    <xf borderId="0" fillId="0" fontId="16" numFmtId="167" xfId="0" applyAlignment="1" applyFont="1" applyNumberFormat="1">
      <alignment horizontal="center" readingOrder="0" vertical="center"/>
    </xf>
    <xf borderId="0" fillId="0" fontId="27" numFmtId="0" xfId="0" applyAlignment="1" applyFont="1">
      <alignment horizontal="center" readingOrder="0" vertical="center"/>
    </xf>
    <xf borderId="0" fillId="0" fontId="28" numFmtId="0" xfId="0" applyAlignment="1" applyFont="1">
      <alignment readingOrder="0" shrinkToFit="0" vertical="bottom" wrapText="0"/>
    </xf>
    <xf borderId="0" fillId="4" fontId="5" numFmtId="9" xfId="0" applyAlignment="1" applyFont="1" applyNumberFormat="1">
      <alignment horizontal="center" vertical="bottom"/>
    </xf>
    <xf borderId="0" fillId="4" fontId="5" numFmtId="172" xfId="0" applyAlignment="1" applyFont="1" applyNumberFormat="1">
      <alignment horizontal="center" vertical="bottom"/>
    </xf>
    <xf borderId="0" fillId="4" fontId="5" numFmtId="0" xfId="0" applyAlignment="1" applyFont="1">
      <alignment shrinkToFit="0" vertical="bottom" wrapText="0"/>
    </xf>
    <xf borderId="0" fillId="4" fontId="5" numFmtId="0" xfId="0" applyAlignment="1" applyFont="1">
      <alignment horizontal="right" vertical="bottom"/>
    </xf>
    <xf borderId="0" fillId="0" fontId="5" numFmtId="172" xfId="0" applyAlignment="1" applyFont="1" applyNumberFormat="1">
      <alignment horizontal="center" vertical="bottom"/>
    </xf>
    <xf borderId="0" fillId="5" fontId="29" numFmtId="0" xfId="0" applyAlignment="1" applyFont="1">
      <alignment readingOrder="0" shrinkToFit="0" vertical="bottom" wrapText="0"/>
    </xf>
    <xf borderId="0" fillId="5" fontId="5" numFmtId="9" xfId="0" applyAlignment="1" applyFont="1" applyNumberFormat="1">
      <alignment horizontal="center" vertical="bottom"/>
    </xf>
    <xf borderId="0" fillId="5" fontId="5" numFmtId="172" xfId="0" applyAlignment="1" applyFont="1" applyNumberFormat="1">
      <alignment horizontal="center" vertical="bottom"/>
    </xf>
    <xf borderId="0" fillId="5" fontId="5" numFmtId="0" xfId="0" applyAlignment="1" applyFont="1">
      <alignment shrinkToFit="0" vertical="bottom" wrapText="0"/>
    </xf>
    <xf borderId="0" fillId="5" fontId="5" numFmtId="0" xfId="0" applyAlignment="1" applyFont="1">
      <alignment horizontal="right" vertical="bottom"/>
    </xf>
    <xf borderId="0" fillId="6" fontId="30" numFmtId="0" xfId="0" applyAlignment="1" applyFont="1">
      <alignment horizontal="left" readingOrder="0" shrinkToFit="0" vertical="bottom" wrapText="0"/>
    </xf>
    <xf borderId="0" fillId="6" fontId="5" numFmtId="9" xfId="0" applyAlignment="1" applyFont="1" applyNumberFormat="1">
      <alignment horizontal="center" vertical="bottom"/>
    </xf>
    <xf borderId="0" fillId="6" fontId="5" numFmtId="172" xfId="0" applyAlignment="1" applyFont="1" applyNumberFormat="1">
      <alignment horizontal="center" vertical="bottom"/>
    </xf>
    <xf borderId="0" fillId="6" fontId="5" numFmtId="0" xfId="0" applyAlignment="1" applyFont="1">
      <alignment shrinkToFit="0" vertical="bottom" wrapText="0"/>
    </xf>
    <xf borderId="0" fillId="0" fontId="4" numFmtId="0" xfId="0" applyAlignment="1" applyFont="1">
      <alignment horizontal="center" readingOrder="0" vertical="bottom"/>
    </xf>
    <xf borderId="2" fillId="6" fontId="5" numFmtId="0" xfId="0" applyAlignment="1" applyBorder="1" applyFont="1">
      <alignment shrinkToFit="0" vertical="bottom" wrapText="0"/>
    </xf>
    <xf borderId="1" fillId="4" fontId="4" numFmtId="0" xfId="0" applyAlignment="1" applyBorder="1" applyFont="1">
      <alignment horizontal="center" vertical="bottom"/>
    </xf>
    <xf borderId="0" fillId="4" fontId="4" numFmtId="0" xfId="0" applyAlignment="1" applyFont="1">
      <alignment shrinkToFit="0" vertical="bottom" wrapText="0"/>
    </xf>
    <xf borderId="1" fillId="4" fontId="5" numFmtId="0" xfId="0" applyAlignment="1" applyBorder="1" applyFont="1">
      <alignment horizontal="right" vertical="bottom"/>
    </xf>
    <xf borderId="1" fillId="4" fontId="5" numFmtId="0" xfId="0" applyAlignment="1" applyBorder="1" applyFont="1">
      <alignment readingOrder="0" vertical="bottom"/>
    </xf>
    <xf borderId="0" fillId="7" fontId="4" numFmtId="0" xfId="0" applyAlignment="1" applyFont="1">
      <alignment horizontal="center" shrinkToFit="0" wrapText="1"/>
    </xf>
    <xf borderId="0" fillId="7" fontId="4" numFmtId="0" xfId="0" applyAlignment="1" applyFont="1">
      <alignment horizontal="center" shrinkToFit="0" wrapText="0"/>
    </xf>
    <xf borderId="0" fillId="3" fontId="4" numFmtId="0" xfId="0" applyAlignment="1" applyFont="1">
      <alignment horizontal="center"/>
    </xf>
    <xf borderId="0" fillId="3" fontId="4" numFmtId="3" xfId="0" applyAlignment="1" applyFont="1" applyNumberFormat="1">
      <alignment horizontal="center" readingOrder="0"/>
    </xf>
    <xf borderId="0" fillId="3" fontId="4" numFmtId="166" xfId="0" applyAlignment="1" applyFont="1" applyNumberFormat="1">
      <alignment horizontal="center" readingOrder="0"/>
    </xf>
    <xf borderId="0" fillId="5" fontId="4" numFmtId="0" xfId="0" applyAlignment="1" applyFont="1">
      <alignment horizontal="center"/>
    </xf>
    <xf borderId="0" fillId="5" fontId="4" numFmtId="0" xfId="0" applyAlignment="1" applyFont="1">
      <alignment horizontal="center" readingOrder="0" shrinkToFit="0" wrapText="0"/>
    </xf>
    <xf borderId="0" fillId="5" fontId="4" numFmtId="0" xfId="0" applyAlignment="1" applyFont="1">
      <alignment horizontal="center" readingOrder="0"/>
    </xf>
    <xf borderId="0" fillId="5" fontId="4" numFmtId="10" xfId="0" applyAlignment="1" applyFont="1" applyNumberFormat="1">
      <alignment horizontal="center" readingOrder="0"/>
    </xf>
    <xf borderId="0" fillId="5" fontId="4" numFmtId="1" xfId="0" applyAlignment="1" applyFont="1" applyNumberFormat="1">
      <alignment horizontal="center" readingOrder="0"/>
    </xf>
    <xf borderId="0" fillId="0" fontId="5" numFmtId="0" xfId="0" applyAlignment="1" applyFont="1">
      <alignment vertical="bottom"/>
    </xf>
    <xf borderId="0" fillId="8" fontId="4" numFmtId="0" xfId="0" applyAlignment="1" applyFont="1">
      <alignment horizontal="center"/>
    </xf>
    <xf borderId="0" fillId="8" fontId="4" numFmtId="0" xfId="0" applyAlignment="1" applyFont="1">
      <alignment horizontal="center" readingOrder="0" shrinkToFit="0" wrapText="0"/>
    </xf>
    <xf borderId="0" fillId="8" fontId="4" numFmtId="0" xfId="0" applyAlignment="1" applyFont="1">
      <alignment horizontal="center" readingOrder="0"/>
    </xf>
    <xf borderId="0" fillId="8" fontId="4" numFmtId="10" xfId="0" applyAlignment="1" applyFont="1" applyNumberFormat="1">
      <alignment horizontal="center" readingOrder="0"/>
    </xf>
    <xf borderId="0" fillId="8" fontId="4" numFmtId="1" xfId="0" applyAlignment="1" applyFont="1" applyNumberFormat="1">
      <alignment horizontal="center" readingOrder="0"/>
    </xf>
    <xf borderId="0" fillId="4" fontId="1" numFmtId="0" xfId="0" applyAlignment="1" applyFont="1">
      <alignment readingOrder="0" shrinkToFit="0" wrapText="0"/>
    </xf>
    <xf borderId="0" fillId="0" fontId="2" numFmtId="169" xfId="0" applyAlignment="1" applyFont="1" applyNumberFormat="1">
      <alignment readingOrder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shrinkToFit="0" vertical="bottom" wrapText="0"/>
    </xf>
    <xf borderId="0" fillId="4" fontId="16" numFmtId="166" xfId="0" applyAlignment="1" applyFont="1" applyNumberFormat="1">
      <alignment horizontal="center" readingOrder="0" vertical="center"/>
    </xf>
    <xf borderId="0" fillId="4" fontId="5" numFmtId="173" xfId="0" applyAlignment="1" applyFont="1" applyNumberFormat="1">
      <alignment horizontal="center" readingOrder="0" vertical="bottom"/>
    </xf>
    <xf borderId="0" fillId="4" fontId="5" numFmtId="49" xfId="0" applyAlignment="1" applyFont="1" applyNumberFormat="1">
      <alignment horizontal="center" readingOrder="0" vertical="bottom"/>
    </xf>
    <xf borderId="0" fillId="5" fontId="4" numFmtId="0" xfId="0" applyAlignment="1" applyFont="1">
      <alignment horizontal="right" readingOrder="0" vertical="bottom"/>
    </xf>
    <xf borderId="0" fillId="5" fontId="4" numFmtId="9" xfId="0" applyAlignment="1" applyFont="1" applyNumberFormat="1">
      <alignment horizontal="center" vertical="bottom"/>
    </xf>
    <xf borderId="0" fillId="5" fontId="5" numFmtId="173" xfId="0" applyAlignment="1" applyFont="1" applyNumberFormat="1">
      <alignment horizontal="center" readingOrder="0" vertical="bottom"/>
    </xf>
    <xf borderId="0" fillId="6" fontId="5" numFmtId="173" xfId="0" applyAlignment="1" applyFont="1" applyNumberFormat="1">
      <alignment horizontal="center" readingOrder="0" vertical="bottom"/>
    </xf>
    <xf borderId="0" fillId="0" fontId="4" numFmtId="0" xfId="0" applyAlignment="1" applyFont="1">
      <alignment readingOrder="0" vertical="bottom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1" numFmtId="0" xfId="0" applyAlignment="1" applyFont="1">
      <alignment readingOrder="0"/>
    </xf>
    <xf borderId="0" fillId="10" fontId="4" numFmtId="0" xfId="0" applyAlignment="1" applyFill="1" applyFont="1">
      <alignment horizontal="right" vertical="bottom"/>
    </xf>
    <xf borderId="0" fillId="10" fontId="32" numFmtId="0" xfId="0" applyAlignment="1" applyFont="1">
      <alignment readingOrder="0" shrinkToFit="0" vertical="bottom" wrapText="0"/>
    </xf>
    <xf borderId="0" fillId="10" fontId="5" numFmtId="0" xfId="0" applyAlignment="1" applyFont="1">
      <alignment horizontal="center" readingOrder="0" vertical="bottom"/>
    </xf>
    <xf borderId="0" fillId="10" fontId="4" numFmtId="0" xfId="0" applyAlignment="1" applyFont="1">
      <alignment horizontal="center" readingOrder="0" vertical="bottom"/>
    </xf>
    <xf borderId="0" fillId="10" fontId="5" numFmtId="9" xfId="0" applyAlignment="1" applyFont="1" applyNumberFormat="1">
      <alignment horizontal="center" vertical="bottom"/>
    </xf>
    <xf borderId="0" fillId="10" fontId="5" numFmtId="173" xfId="0" applyAlignment="1" applyFont="1" applyNumberFormat="1">
      <alignment horizontal="center" readingOrder="0" vertical="bottom"/>
    </xf>
    <xf borderId="0" fillId="10" fontId="5" numFmtId="169" xfId="0" applyAlignment="1" applyFont="1" applyNumberFormat="1">
      <alignment horizontal="center" readingOrder="0" vertical="bottom"/>
    </xf>
    <xf borderId="0" fillId="10" fontId="5" numFmtId="0" xfId="0" applyAlignment="1" applyFont="1">
      <alignment shrinkToFit="0" vertical="bottom" wrapText="0"/>
    </xf>
    <xf borderId="0" fillId="10" fontId="5" numFmtId="0" xfId="0" applyAlignment="1" applyFont="1">
      <alignment horizontal="right" readingOrder="0" vertical="bottom"/>
    </xf>
    <xf borderId="0" fillId="4" fontId="33" numFmtId="0" xfId="0" applyAlignment="1" applyFont="1">
      <alignment readingOrder="0"/>
    </xf>
    <xf borderId="0" fillId="4" fontId="34" numFmtId="0" xfId="0" applyAlignment="1" applyFont="1">
      <alignment readingOrder="0"/>
    </xf>
    <xf borderId="0" fillId="11" fontId="1" numFmtId="0" xfId="0" applyAlignment="1" applyFill="1" applyFont="1">
      <alignment readingOrder="0"/>
    </xf>
    <xf borderId="0" fillId="11" fontId="1" numFmtId="166" xfId="0" applyAlignment="1" applyFont="1" applyNumberFormat="1">
      <alignment readingOrder="0"/>
    </xf>
    <xf borderId="0" fillId="0" fontId="1" numFmtId="0" xfId="0" applyAlignment="1" applyFont="1">
      <alignment horizontal="center" readingOrder="0" vertical="center"/>
    </xf>
    <xf borderId="0" fillId="4" fontId="4" numFmtId="0" xfId="0" applyAlignment="1" applyFont="1">
      <alignment horizontal="right" readingOrder="0" vertical="bottom"/>
    </xf>
    <xf borderId="0" fillId="0" fontId="4" numFmtId="0" xfId="0" applyAlignment="1" applyFont="1">
      <alignment horizontal="right" readingOrder="0" vertical="bottom"/>
    </xf>
    <xf borderId="0" fillId="0" fontId="5" numFmtId="9" xfId="0" applyAlignment="1" applyFont="1" applyNumberFormat="1">
      <alignment horizontal="center" vertical="bottom"/>
    </xf>
    <xf borderId="0" fillId="4" fontId="35" numFmtId="0" xfId="0" applyAlignment="1" applyFont="1">
      <alignment readingOrder="0" shrinkToFit="0" vertical="bottom" wrapText="0"/>
    </xf>
    <xf borderId="0" fillId="4" fontId="4" numFmtId="0" xfId="0" applyAlignment="1" applyFont="1">
      <alignment horizontal="center" readingOrder="0" vertical="bottom"/>
    </xf>
    <xf borderId="0" fillId="6" fontId="4" numFmtId="0" xfId="0" applyAlignment="1" applyFont="1">
      <alignment horizontal="right" readingOrder="0" vertical="bottom"/>
    </xf>
    <xf borderId="0" fillId="4" fontId="4" numFmtId="0" xfId="0" applyAlignment="1" applyFont="1">
      <alignment readingOrder="0" shrinkToFit="0" vertical="bottom" wrapText="0"/>
    </xf>
    <xf borderId="0" fillId="3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Konferencja Pierwsze Kroki w POZ - liczba użytkowników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SYNTEZA!$C$58</c:f>
            </c:strRef>
          </c:tx>
          <c:spPr>
            <a:solidFill>
              <a:srgbClr val="351C75"/>
            </a:solidFill>
            <a:ln cmpd="sng">
              <a:solidFill>
                <a:srgbClr val="000000"/>
              </a:solidFill>
            </a:ln>
          </c:spPr>
          <c:cat>
            <c:strRef>
              <c:f>SYNTEZA!$B$59:$B$61</c:f>
            </c:strRef>
          </c:cat>
          <c:val>
            <c:numRef>
              <c:f>SYNTEZA!$C$59:$C$61</c:f>
              <c:numCache/>
            </c:numRef>
          </c:val>
        </c:ser>
        <c:ser>
          <c:idx val="1"/>
          <c:order val="1"/>
          <c:tx>
            <c:strRef>
              <c:f>SYNTEZA!$D$58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SYNTEZA!$B$59:$B$61</c:f>
            </c:strRef>
          </c:cat>
          <c:val>
            <c:numRef>
              <c:f>SYNTEZA!$D$59:$D$61</c:f>
              <c:numCache/>
            </c:numRef>
          </c:val>
        </c:ser>
        <c:overlap val="100"/>
        <c:axId val="475072876"/>
        <c:axId val="310003704"/>
      </c:barChart>
      <c:catAx>
        <c:axId val="4750728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0003704"/>
      </c:catAx>
      <c:valAx>
        <c:axId val="3100037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507287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SYNTEZA!$B$35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SYNTEZA!$C$34:$G$34</c:f>
            </c:strRef>
          </c:cat>
          <c:val>
            <c:numRef>
              <c:f>SYNTEZA!$C$35:$G$35</c:f>
              <c:numCache/>
            </c:numRef>
          </c:val>
        </c:ser>
        <c:ser>
          <c:idx val="1"/>
          <c:order val="1"/>
          <c:tx>
            <c:strRef>
              <c:f>SYNTEZA!$B$36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SYNTEZA!$C$34:$G$34</c:f>
            </c:strRef>
          </c:cat>
          <c:val>
            <c:numRef>
              <c:f>SYNTEZA!$C$36:$G$36</c:f>
              <c:numCache/>
            </c:numRef>
          </c:val>
        </c:ser>
        <c:ser>
          <c:idx val="2"/>
          <c:order val="2"/>
          <c:tx>
            <c:strRef>
              <c:f>SYNTEZA!$B$37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SYNTEZA!$C$34:$G$34</c:f>
            </c:strRef>
          </c:cat>
          <c:val>
            <c:numRef>
              <c:f>SYNTEZA!$C$37:$G$37</c:f>
              <c:numCache/>
            </c:numRef>
          </c:val>
        </c:ser>
        <c:axId val="87221362"/>
        <c:axId val="1896473294"/>
      </c:barChart>
      <c:catAx>
        <c:axId val="872213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Konferencje z cyklu Pierwsze Kroki w POZ 2024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6473294"/>
      </c:catAx>
      <c:valAx>
        <c:axId val="18964732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2213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Infekcje!$K$28</c:f>
            </c:strRef>
          </c:tx>
          <c:spPr>
            <a:solidFill>
              <a:srgbClr val="0B539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Infekcje!$L$27:$M$27</c:f>
            </c:strRef>
          </c:cat>
          <c:val>
            <c:numRef>
              <c:f>Infekcje!$L$28:$M$28</c:f>
              <c:numCache/>
            </c:numRef>
          </c:val>
        </c:ser>
        <c:ser>
          <c:idx val="1"/>
          <c:order val="1"/>
          <c:tx>
            <c:strRef>
              <c:f>Infekcje!$K$29</c:f>
            </c:strRef>
          </c:tx>
          <c:spPr>
            <a:solidFill>
              <a:srgbClr val="674EA7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Infekcje!$L$27:$M$27</c:f>
            </c:strRef>
          </c:cat>
          <c:val>
            <c:numRef>
              <c:f>Infekcje!$L$29:$M$29</c:f>
              <c:numCache/>
            </c:numRef>
          </c:val>
        </c:ser>
        <c:axId val="403721151"/>
        <c:axId val="1562657574"/>
      </c:barChart>
      <c:catAx>
        <c:axId val="4037211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2657574"/>
      </c:catAx>
      <c:valAx>
        <c:axId val="15626575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37211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466725</xdr:colOff>
      <xdr:row>61</xdr:row>
      <xdr:rowOff>180975</xdr:rowOff>
    </xdr:from>
    <xdr:ext cx="7848600" cy="4857750"/>
    <xdr:graphicFrame>
      <xdr:nvGraphicFramePr>
        <xdr:cNvPr id="1" name="Chart 1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323850</xdr:colOff>
      <xdr:row>22</xdr:row>
      <xdr:rowOff>142875</xdr:rowOff>
    </xdr:from>
    <xdr:ext cx="5715000" cy="3533775"/>
    <xdr:graphicFrame>
      <xdr:nvGraphicFramePr>
        <xdr:cNvPr id="2" name="Chart 2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485775</xdr:colOff>
      <xdr:row>31</xdr:row>
      <xdr:rowOff>152400</xdr:rowOff>
    </xdr:from>
    <xdr:ext cx="7219950" cy="4467225"/>
    <xdr:graphicFrame>
      <xdr:nvGraphicFramePr>
        <xdr:cNvPr id="3" name="Chart 3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133350</xdr:colOff>
      <xdr:row>75</xdr:row>
      <xdr:rowOff>104775</xdr:rowOff>
    </xdr:from>
    <xdr:ext cx="7877175" cy="4057650"/>
    <xdr:pic>
      <xdr:nvPicPr>
        <xdr:cNvPr id="0" name="image2.png" title="Obraz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28</xdr:row>
      <xdr:rowOff>57150</xdr:rowOff>
    </xdr:from>
    <xdr:ext cx="7839075" cy="4095750"/>
    <xdr:pic>
      <xdr:nvPicPr>
        <xdr:cNvPr id="0" name="image1.png" title="Obraz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409575</xdr:colOff>
      <xdr:row>52</xdr:row>
      <xdr:rowOff>38100</xdr:rowOff>
    </xdr:from>
    <xdr:ext cx="11706225" cy="5353050"/>
    <xdr:pic>
      <xdr:nvPicPr>
        <xdr:cNvPr id="0" name="image3.png" title="Obraz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809625</xdr:colOff>
      <xdr:row>103</xdr:row>
      <xdr:rowOff>152400</xdr:rowOff>
    </xdr:from>
    <xdr:ext cx="8220075" cy="4819650"/>
    <xdr:pic>
      <xdr:nvPicPr>
        <xdr:cNvPr id="0" name="image6.png" title="Obraz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361950</xdr:colOff>
      <xdr:row>62</xdr:row>
      <xdr:rowOff>38100</xdr:rowOff>
    </xdr:from>
    <xdr:ext cx="11439525" cy="5133975"/>
    <xdr:pic>
      <xdr:nvPicPr>
        <xdr:cNvPr id="0" name="image5.png" title="Obraz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180975</xdr:colOff>
      <xdr:row>37</xdr:row>
      <xdr:rowOff>180975</xdr:rowOff>
    </xdr:from>
    <xdr:ext cx="4600575" cy="2667000"/>
    <xdr:pic>
      <xdr:nvPicPr>
        <xdr:cNvPr id="0" name="image7.png" title="Obraz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638175</xdr:colOff>
      <xdr:row>91</xdr:row>
      <xdr:rowOff>152400</xdr:rowOff>
    </xdr:from>
    <xdr:ext cx="10696575" cy="4981575"/>
    <xdr:pic>
      <xdr:nvPicPr>
        <xdr:cNvPr id="0" name="image4.png" title="Obraz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114300</xdr:colOff>
      <xdr:row>45</xdr:row>
      <xdr:rowOff>28575</xdr:rowOff>
    </xdr:from>
    <xdr:ext cx="7905750" cy="4619625"/>
    <xdr:pic>
      <xdr:nvPicPr>
        <xdr:cNvPr id="0" name="image9.png" title="Obraz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86</xdr:row>
      <xdr:rowOff>47625</xdr:rowOff>
    </xdr:from>
    <xdr:ext cx="8743950" cy="4257675"/>
    <xdr:pic>
      <xdr:nvPicPr>
        <xdr:cNvPr id="0" name="image8.png" title="Obraz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remedium.md/wideo/pacjent-bardzo-wysokiego-ryzyka-sercowo-naczyniowego-omowienie-algorytmow-postepowania-z-pacjentem-z-hipercholesterolemia-w-gabinecie-lekarza-poz-120" TargetMode="External"/><Relationship Id="rId42" Type="http://schemas.openxmlformats.org/officeDocument/2006/relationships/hyperlink" Target="https://remedium.md/wideo/policja-i-inne-sluzby-w-gabinecie-lekarza-co-mozna-co-trzeba-czego-nie-wolno-122" TargetMode="External"/><Relationship Id="rId41" Type="http://schemas.openxmlformats.org/officeDocument/2006/relationships/hyperlink" Target="https://www.bigmarker.com/remedium/Pacjent-bardzo-wysokiego-ryzyka-sercowo-naczyniowego-Om-wienie-algorytm-w-post-powania-z-pacjentem-z-hipercholesterolemi-w-gabinecie-lekarza-POZ/promote_manage" TargetMode="External"/><Relationship Id="rId44" Type="http://schemas.openxmlformats.org/officeDocument/2006/relationships/hyperlink" Target="https://remedium.md/wideo/aktualne-mozliwosci-leczenia-hipercholesterolemii-w-polsce-121" TargetMode="External"/><Relationship Id="rId43" Type="http://schemas.openxmlformats.org/officeDocument/2006/relationships/hyperlink" Target="https://www.bigmarker.com/remedium/Policja-i-inne-s-u-by-w-gabinecie-lekarza-co-mo-na-co-trzeba-czego-nie-wolno/promote_manage" TargetMode="External"/><Relationship Id="rId46" Type="http://schemas.openxmlformats.org/officeDocument/2006/relationships/hyperlink" Target="https://remedium.md/edukacja/vod/angina-u-dzieci-q-and-a-123" TargetMode="External"/><Relationship Id="rId45" Type="http://schemas.openxmlformats.org/officeDocument/2006/relationships/hyperlink" Target="https://www.bigmarker.com/remedium/Aktualne-mo-liwo-ci-leczenia-hipercholesterolemii-w-Polsce-5191dd15a914b387265297a9/promote_manage" TargetMode="External"/><Relationship Id="rId107" Type="http://schemas.openxmlformats.org/officeDocument/2006/relationships/hyperlink" Target="https://www.bigmarker.com/remedium/jak-przygotowa-si-do-sta-u-podyplomowego/promote_manage" TargetMode="External"/><Relationship Id="rId106" Type="http://schemas.openxmlformats.org/officeDocument/2006/relationships/hyperlink" Target="https://www.bigmarker.com/remedium/agresja-wobec-medyk-w-prawa-ochrona-przeciwdzia-anie/promote_manage" TargetMode="External"/><Relationship Id="rId105" Type="http://schemas.openxmlformats.org/officeDocument/2006/relationships/hyperlink" Target="https://www.bigmarker.com/remedium/lekarz-na-rozdro-u-o-granicach-decyzji-w-kontek-cie-aborcji-i-tranzycji/promote_manage" TargetMode="External"/><Relationship Id="rId104" Type="http://schemas.openxmlformats.org/officeDocument/2006/relationships/hyperlink" Target="https://www.bigmarker.com/remedium/praktyczne-aspekty-stosowania-cytykoliny-w-udarze-m-zgu-i-zaburzeniach-poznawczych/promote_manage" TargetMode="External"/><Relationship Id="rId109" Type="http://schemas.openxmlformats.org/officeDocument/2006/relationships/hyperlink" Target="https://www.bigmarker.com/remedium/nudno-ci-i-wymioty-w-ci-y-kiedy-dlaczego-i-jak-nale-y-leczy/promote_manage" TargetMode="External"/><Relationship Id="rId108" Type="http://schemas.openxmlformats.org/officeDocument/2006/relationships/hyperlink" Target="https://www.bigmarker.com/remedium/depresja-w-gabinecie-poz-czy-ka-dy-pacjent-wymaga-konsultacji-psychiatrycznej/promote_manage" TargetMode="External"/><Relationship Id="rId48" Type="http://schemas.openxmlformats.org/officeDocument/2006/relationships/hyperlink" Target="https://www.bigmarker.com/remedium/I-Mi-dzynarodowy-Kongres-Kardiomiopatii-Warsztaty-z-rezonansu-magnetycznego/promote_manage" TargetMode="External"/><Relationship Id="rId47" Type="http://schemas.openxmlformats.org/officeDocument/2006/relationships/hyperlink" Target="https://www.bigmarker.com/remedium/Angina-u-dzieci-Q-A/promote_manage" TargetMode="External"/><Relationship Id="rId49" Type="http://schemas.openxmlformats.org/officeDocument/2006/relationships/hyperlink" Target="https://www.bigmarker.com/remedium/I-Mi-dzynarodowy-Kongres-Kardiomiopatii-Sesja-studencka/promote_manage" TargetMode="External"/><Relationship Id="rId103" Type="http://schemas.openxmlformats.org/officeDocument/2006/relationships/hyperlink" Target="https://www.bigmarker.com/remedium/konferencja-specjalista-w-praktyce-ginekologia/promote_manage" TargetMode="External"/><Relationship Id="rId102" Type="http://schemas.openxmlformats.org/officeDocument/2006/relationships/hyperlink" Target="https://www.bigmarker.com/remedium/przewlek-y-b-l-u-os-b-w-wieku-podesz-ym-efektywna-terapia-w-praktyce-klinicznej/promote_manage" TargetMode="External"/><Relationship Id="rId101" Type="http://schemas.openxmlformats.org/officeDocument/2006/relationships/hyperlink" Target="https://www.bigmarker.com/remedium/przed-u-ona-profilaktyka-przeciwzakrzepowa-praktyczne-podej-cie-w-oparciu-o-przypadki-kliniczne/promote_manage" TargetMode="External"/><Relationship Id="rId100" Type="http://schemas.openxmlformats.org/officeDocument/2006/relationships/hyperlink" Target="https://www.bigmarker.com/remedium/tytu-wywiad-badanie-przedmiotowe-i-czyli-co-da-mi-wiedza-z-ekg-w-codziennej-praktyce/promote_manage" TargetMode="External"/><Relationship Id="rId31" Type="http://schemas.openxmlformats.org/officeDocument/2006/relationships/hyperlink" Target="https://www.bigmarker.com/remedium/Konferencja-Pierwsze-kroki-w-POZ-gastroenterologia/promote_manage" TargetMode="External"/><Relationship Id="rId30" Type="http://schemas.openxmlformats.org/officeDocument/2006/relationships/hyperlink" Target="https://www.bigmarker.com/remedium/Pacjent-z-nowo-rozpoznan-astm-241fddbe376107f9765411fe/promote_manage" TargetMode="External"/><Relationship Id="rId33" Type="http://schemas.openxmlformats.org/officeDocument/2006/relationships/hyperlink" Target="https://www.bigmarker.com/remedium/Konferencja-Pierwsze-kroki-w-POZ-kardiologia-i-diabetologia-d8509e1ea435d9b2fb8a5484/promote_manage" TargetMode="External"/><Relationship Id="rId32" Type="http://schemas.openxmlformats.org/officeDocument/2006/relationships/hyperlink" Target="https://www.bigmarker.com/remedium/Biocenoza-pochwy-dlaczego-tak-niewiele-o-niej-wiemy/promote_manage" TargetMode="External"/><Relationship Id="rId35" Type="http://schemas.openxmlformats.org/officeDocument/2006/relationships/hyperlink" Target="https://www.bigmarker.com/remedium/Pacjent-wsp-pracuj-cy-i-zmotywowany-jak-to-si-robi/promote_manage" TargetMode="External"/><Relationship Id="rId34" Type="http://schemas.openxmlformats.org/officeDocument/2006/relationships/hyperlink" Target="https://www.bigmarker.com/remedium/Pacjent-z-astm-niekontrolowan/promote_manage" TargetMode="External"/><Relationship Id="rId37" Type="http://schemas.openxmlformats.org/officeDocument/2006/relationships/hyperlink" Target="https://www.bigmarker.com/remedium/Angina-u-dzieci-i-jej-leczenie-nowa-posta-penicyliny-w-zawiesinie-dla-dzieci/promote_manage" TargetMode="External"/><Relationship Id="rId36" Type="http://schemas.openxmlformats.org/officeDocument/2006/relationships/hyperlink" Target="https://www.bigmarker.com/remedium/Biocenoza-pochwy-jak-zdobyta-wiedza-prze-o-y-si-na-aspekt-terapeutyczny-i-popraw-skuteczno-ci-leczenia/promote_manage" TargetMode="External"/><Relationship Id="rId39" Type="http://schemas.openxmlformats.org/officeDocument/2006/relationships/hyperlink" Target="https://www.bigmarker.com/remedium/Angina-u-dzieci-leczenie/promote_manage" TargetMode="External"/><Relationship Id="rId38" Type="http://schemas.openxmlformats.org/officeDocument/2006/relationships/hyperlink" Target="https://www.bigmarker.com/remedium/Sk-d-si-bior-sprawy-s-dowe-przeciwko-lekarzom-Analiza-przyczyn-powstawania-spraw-s-dowych-na-wybranych-przyk-adach/promote_manage" TargetMode="External"/><Relationship Id="rId20" Type="http://schemas.openxmlformats.org/officeDocument/2006/relationships/hyperlink" Target="https://www.bigmarker.com/remedium/Problematyka-stwierdzania-i-dokumentacji-zgon-w-Q-A/promote_manage" TargetMode="External"/><Relationship Id="rId22" Type="http://schemas.openxmlformats.org/officeDocument/2006/relationships/hyperlink" Target="https://www.bigmarker.com/remedium/Kiedy-m-zg-m-wi-je/promote_manage" TargetMode="External"/><Relationship Id="rId21" Type="http://schemas.openxmlformats.org/officeDocument/2006/relationships/hyperlink" Target="https://www.bigmarker.com/remedium/Nowoczesne-strategie-immunologiczne-w-zwalczaniu-przewlek-ych-i-nawracaj-cych-infekcji-dr-g-oddechowych/promote_manage" TargetMode="External"/><Relationship Id="rId24" Type="http://schemas.openxmlformats.org/officeDocument/2006/relationships/hyperlink" Target="https://www.bigmarker.com/remedium/65-plus-A-mo-e-minus-Jak-szczepi-doros-ych-przeciw-pneumokokom/promote_manage" TargetMode="External"/><Relationship Id="rId23" Type="http://schemas.openxmlformats.org/officeDocument/2006/relationships/hyperlink" Target="https://www.bigmarker.com/remedium/Zatrzyma-ZUM-czyli-jak-post-puj-urolodzy/promote_manage" TargetMode="External"/><Relationship Id="rId129" Type="http://schemas.openxmlformats.org/officeDocument/2006/relationships/hyperlink" Target="https://www.bigmarker.com/remedium/konferencja-pierwsze-kroki-w-poz-pediatria-170bf859cb45/promote_manage" TargetMode="External"/><Relationship Id="rId128" Type="http://schemas.openxmlformats.org/officeDocument/2006/relationships/hyperlink" Target="https://www.bigmarker.com/remedium/konferencja-pierwsze-kroki-w-poz-dermatologia-i-alergologia/promote_manage" TargetMode="External"/><Relationship Id="rId127" Type="http://schemas.openxmlformats.org/officeDocument/2006/relationships/hyperlink" Target="https://www.bigmarker.com/remedium/terapia-grypy-pod-kontrol-obalamy-5-popularnych-mit-w/promote_manage" TargetMode="External"/><Relationship Id="rId126" Type="http://schemas.openxmlformats.org/officeDocument/2006/relationships/hyperlink" Target="https://docs.google.com/spreadsheets/d/1W7IU1Zj18_ZiHbE870RcjiozEbaPZ6LkzSwUmhJlxiQ/edit?gid=0" TargetMode="External"/><Relationship Id="rId26" Type="http://schemas.openxmlformats.org/officeDocument/2006/relationships/hyperlink" Target="https://www.bigmarker.com/remedium/Antykoncepcja-od-podstaw-cz-II/promote_manage" TargetMode="External"/><Relationship Id="rId121" Type="http://schemas.openxmlformats.org/officeDocument/2006/relationships/hyperlink" Target="https://docs.google.com/spreadsheets/d/1W7IU1Zj18_ZiHbE870RcjiozEbaPZ6LkzSwUmhJlxiQ/edit?gid=0" TargetMode="External"/><Relationship Id="rId25" Type="http://schemas.openxmlformats.org/officeDocument/2006/relationships/hyperlink" Target="https://www.bigmarker.com/remedium/Antykoncepcja-od-podstaw-cz-I/promote_manage" TargetMode="External"/><Relationship Id="rId120" Type="http://schemas.openxmlformats.org/officeDocument/2006/relationships/hyperlink" Target="https://remedium.md/wideo/webinary/zelazo-zmieniamy-zasady-gry-w-praktyce-poz" TargetMode="External"/><Relationship Id="rId28" Type="http://schemas.openxmlformats.org/officeDocument/2006/relationships/hyperlink" Target="https://www.bigmarker.com/remedium/Diagnostyka-i-leczenie-infekcji-g-rnych-dr-g-oddechowych/promote_manage" TargetMode="External"/><Relationship Id="rId27" Type="http://schemas.openxmlformats.org/officeDocument/2006/relationships/hyperlink" Target="https://www.bigmarker.com/remedium/Infekcje-nosa-i-zatok-czy-antybiotyk-jest-zawsze-potrzebny/promote_manage" TargetMode="External"/><Relationship Id="rId125" Type="http://schemas.openxmlformats.org/officeDocument/2006/relationships/hyperlink" Target="https://www.notion.so/brandmed/zlecenie-promocji-webinaru-158-2025-Biofarm-grypa-webinar-2ab02785b05c807b90dacb7014240b00?source=copy_link" TargetMode="External"/><Relationship Id="rId29" Type="http://schemas.openxmlformats.org/officeDocument/2006/relationships/hyperlink" Target="https://www.bigmarker.com/remedium/Leki-S-i-DZ-jak-wypisa-by-si-nie-pomyli/promote_manage" TargetMode="External"/><Relationship Id="rId124" Type="http://schemas.openxmlformats.org/officeDocument/2006/relationships/hyperlink" Target="https://remedium.md/wideo/webinary/terapia-grypy-pod-kontrola-obalamy-5-popularnych-mitow" TargetMode="External"/><Relationship Id="rId123" Type="http://schemas.openxmlformats.org/officeDocument/2006/relationships/hyperlink" Target="https://www.bigmarker.com/remedium/pierwsze-kroki-w-poz-kardiologia/promote_manage" TargetMode="External"/><Relationship Id="rId122" Type="http://schemas.openxmlformats.org/officeDocument/2006/relationships/hyperlink" Target="https://www.bigmarker.com/remedium/elazo-zmieniamy-zasady-gry-w-praktyce-poz/promote_manage" TargetMode="External"/><Relationship Id="rId95" Type="http://schemas.openxmlformats.org/officeDocument/2006/relationships/hyperlink" Target="https://www.bigmarker.com/remedium/ii-mi-dzynarodowy-kongres-kardiomiopatii-sesja-studencka/promote_manage" TargetMode="External"/><Relationship Id="rId94" Type="http://schemas.openxmlformats.org/officeDocument/2006/relationships/hyperlink" Target="https://www.bigmarker.com/remedium/ii-mi-dzynarodowy-kongres-kardiomiopatii-sesja-studencka-5856bfff97bc8bc743633366/promote_manage" TargetMode="External"/><Relationship Id="rId97" Type="http://schemas.openxmlformats.org/officeDocument/2006/relationships/hyperlink" Target="https://www.bigmarker.com/remedium/ii-mi-dzynarodowy-kongres-kardiomiopatii-warsztaty-z-rezonansu-magnetycznego-serca/promote_manage" TargetMode="External"/><Relationship Id="rId96" Type="http://schemas.openxmlformats.org/officeDocument/2006/relationships/hyperlink" Target="https://www.bigmarker.com/remedium/ii-mi-dzynarodowy-kongres-kardiomiopatii-warsztaty-z-rezonansu-magnetycznego-serca-sesja-lekarska/promote_manage" TargetMode="External"/><Relationship Id="rId11" Type="http://schemas.openxmlformats.org/officeDocument/2006/relationships/hyperlink" Target="https://www.bigmarker.com/remedium/Opieka-koordynowana-w-ramach-POZ-jak-wykorzysta-jej-mo-liwo-ci-w-leczeniu-pacjent-w-z-zaburzeniami-rytmu-serca/promote_manage" TargetMode="External"/><Relationship Id="rId99" Type="http://schemas.openxmlformats.org/officeDocument/2006/relationships/hyperlink" Target="https://www.bigmarker.com/remedium/nowe-mo-liwo-ci-w-diagnozowaniu-i-terapii-alergicznego-nie-ytu-nosa-ann/promote_manage" TargetMode="External"/><Relationship Id="rId10" Type="http://schemas.openxmlformats.org/officeDocument/2006/relationships/hyperlink" Target="https://www.bigmarker.com/remedium/5-najcz-stszych-b-d-w-RODO-pope-nianych-przez-lekarzy-Jak-unikn-kar-finansowych-UODO-i-post-powa-s-dowych/promote_manage" TargetMode="External"/><Relationship Id="rId98" Type="http://schemas.openxmlformats.org/officeDocument/2006/relationships/hyperlink" Target="https://www.bigmarker.com/remedium/wsp-lna-troska-o-serce-spotkanie-integracyjne-dla-lekarzy-i-pacjent-w-kardiologicznych/promote_manage" TargetMode="External"/><Relationship Id="rId13" Type="http://schemas.openxmlformats.org/officeDocument/2006/relationships/hyperlink" Target="https://www.bigmarker.com/remedium/Nadmierna-senno-zasady-diagnostyki-i-leczenia/promote_manage" TargetMode="External"/><Relationship Id="rId12" Type="http://schemas.openxmlformats.org/officeDocument/2006/relationships/hyperlink" Target="https://www.bigmarker.com/remedium/Co-po-dyplomie-Rekrutacja-i-przebieg-sta-u-od-A-do-Z/promote_manage" TargetMode="External"/><Relationship Id="rId91" Type="http://schemas.openxmlformats.org/officeDocument/2006/relationships/hyperlink" Target="https://www.bigmarker.com/remedium/nie-ka-dy-katar-to-alergia-jak-skutecznie-diagnozowa-ann/promote_manage" TargetMode="External"/><Relationship Id="rId90" Type="http://schemas.openxmlformats.org/officeDocument/2006/relationships/hyperlink" Target="https://www.bigmarker.com/remedium/mikrobiom-pod-lup-kiedy-i-jak-ordynowa-probiotyki-w-codziennej-praktyce/promote_manage" TargetMode="External"/><Relationship Id="rId93" Type="http://schemas.openxmlformats.org/officeDocument/2006/relationships/hyperlink" Target="https://www.bigmarker.com/remedium/ii-mi-dzynarodowy-kongres-kardiomiopatii/promote_manage" TargetMode="External"/><Relationship Id="rId92" Type="http://schemas.openxmlformats.org/officeDocument/2006/relationships/hyperlink" Target="https://www.bigmarker.com/remedium/b-l-kr-gos-upa-w-praktyce-jak-skutecznie-diagnozowa-i-leczy/promote_manage" TargetMode="External"/><Relationship Id="rId118" Type="http://schemas.openxmlformats.org/officeDocument/2006/relationships/hyperlink" Target="https://www.bigmarker.com/remedium/depresja-w-praktyce-lekarza-poz-kiedy-podejrzewa-depresj-u-seniora/promote_manage" TargetMode="External"/><Relationship Id="rId117" Type="http://schemas.openxmlformats.org/officeDocument/2006/relationships/hyperlink" Target="https://docs.google.com/spreadsheets/d/1cimMhMxiq6fIhtvFMapERQ75wKd40I6oXwtiOooriVw/edit?usp=sharing" TargetMode="External"/><Relationship Id="rId116" Type="http://schemas.openxmlformats.org/officeDocument/2006/relationships/hyperlink" Target="https://www.notion.so/brandmed/Promocja-zapisu-do-webinaru-2-68-2025-Angelini-Trittico-25402785b05c8025a5cfe51e9fb8a41d?source=copy_link" TargetMode="External"/><Relationship Id="rId115" Type="http://schemas.openxmlformats.org/officeDocument/2006/relationships/hyperlink" Target="https://remedium.md/wideo/webinary/depresja-w-praktyce-lekarza-poz-kiedy-podejrzewac-depresje-u-seniora" TargetMode="External"/><Relationship Id="rId119" Type="http://schemas.openxmlformats.org/officeDocument/2006/relationships/hyperlink" Target="https://www.bigmarker.com/remedium/konferencja-pierwsze-kroki-w-poz-gastroenterologia-f8ccda0084502da4242e81b5/promote_manage" TargetMode="External"/><Relationship Id="rId15" Type="http://schemas.openxmlformats.org/officeDocument/2006/relationships/hyperlink" Target="https://www.bigmarker.com/remedium/Lekarz-w-samolocie-zadania-i-obowi-zki-w-nag-ych-przypadkach/promote_manage" TargetMode="External"/><Relationship Id="rId110" Type="http://schemas.openxmlformats.org/officeDocument/2006/relationships/hyperlink" Target="https://www.bigmarker.com/remedium/konferencja-pierwsze-kroki-w-poz-infekcje-szczepienia-antybiotyki/promote_manage" TargetMode="External"/><Relationship Id="rId14" Type="http://schemas.openxmlformats.org/officeDocument/2006/relationships/hyperlink" Target="https://www.bigmarker.com/remedium/Jak-czyta-paski-wynagrodze-i-sprawdzi-swoje-wynagrodzenie-Podstawowe-zasady-naliczania-wynagrodze-w-ochronie-zdrowia/promote_manage" TargetMode="External"/><Relationship Id="rId17" Type="http://schemas.openxmlformats.org/officeDocument/2006/relationships/hyperlink" Target="https://www.bigmarker.com/remedium/Jak-dochodzi-swoich-praw-w-starciu-z-nieuczciwym-pracodawc/promote_manage" TargetMode="External"/><Relationship Id="rId16" Type="http://schemas.openxmlformats.org/officeDocument/2006/relationships/hyperlink" Target="https://www.bigmarker.com/remedium/Tr-jk-t-Bermudzki-systemu-ochrony-zdrowia-Czy-dobra-wsp-praca-pomi-dzy-POZ-SOR-a-oddzia-em-jest-mo-liwa/promote_manage" TargetMode="External"/><Relationship Id="rId19" Type="http://schemas.openxmlformats.org/officeDocument/2006/relationships/hyperlink" Target="https://www.bigmarker.com/remedium/Konferencja-Pierwsze-kroki-w-POZ-dermatologia-i-reumatologia/promote_manage" TargetMode="External"/><Relationship Id="rId114" Type="http://schemas.openxmlformats.org/officeDocument/2006/relationships/hyperlink" Target="https://www.bigmarker.com/remedium/konferencja-pierwsze-kroki-w-poz-psychiatria-neurologia-b-l-32d2c8e9c9e6169a2f99df75/promote_manage" TargetMode="External"/><Relationship Id="rId18" Type="http://schemas.openxmlformats.org/officeDocument/2006/relationships/hyperlink" Target="https://www.bigmarker.com/remedium/Lekarz-podczas-kontroli-wszystko-co-musisz-wiedzie-po-wezwaniu-przez-ZUS-NFZ-lub-OIL/promote_manage" TargetMode="External"/><Relationship Id="rId113" Type="http://schemas.openxmlformats.org/officeDocument/2006/relationships/hyperlink" Target="https://www.bigmarker.com/remedium/immunoprofilaktyka-w-praktyce-poz-scenariusze-post-powania-od-dziecka-po-doros-ego-pacjenta/promote_manage" TargetMode="External"/><Relationship Id="rId112" Type="http://schemas.openxmlformats.org/officeDocument/2006/relationships/hyperlink" Target="https://docs.google.com/spreadsheets/d/1MK_o6GhfkwKlG3eeTxt6xX1-ZoSPlHxOvlVKxbvuAoM/edit?gid=0" TargetMode="External"/><Relationship Id="rId111" Type="http://schemas.openxmlformats.org/officeDocument/2006/relationships/hyperlink" Target="https://www.bigmarker.com/remedium/agresywny-pacjent-prawa-obowi-zki-i-cie-ki-post-powania/promote_manage" TargetMode="External"/><Relationship Id="rId84" Type="http://schemas.openxmlformats.org/officeDocument/2006/relationships/hyperlink" Target="https://www.bigmarker.com/remedium/Kaszel-niejedno-ma-imi-jak-sobie-radzi/promote_manage" TargetMode="External"/><Relationship Id="rId83" Type="http://schemas.openxmlformats.org/officeDocument/2006/relationships/hyperlink" Target="https://www.bigmarker.com/remedium/Breaking-bad-news-czyli-jak-prawid-owo-przekazywa-pacjentom-niepomy-lne-informacje/promote_manage" TargetMode="External"/><Relationship Id="rId86" Type="http://schemas.openxmlformats.org/officeDocument/2006/relationships/hyperlink" Target="https://www.bigmarker.com/remedium/terapia-hipotensyjna-w-praktyce-co-nowego-w-wytycznych-esh-i-esc/promote_manage" TargetMode="External"/><Relationship Id="rId85" Type="http://schemas.openxmlformats.org/officeDocument/2006/relationships/hyperlink" Target="https://www.bigmarker.com/remedium/Konferencja-Pierwsze-kroki-w-POZ-pediatria/promote_manage" TargetMode="External"/><Relationship Id="rId88" Type="http://schemas.openxmlformats.org/officeDocument/2006/relationships/hyperlink" Target="https://www.bigmarker.com/remedium/XXV-Warszawskie-Dni-Kardiologii-Akademickiej-dost-p-dla-student-w-c2bda5f3454a04994d67fb1d/promote_manage" TargetMode="External"/><Relationship Id="rId87" Type="http://schemas.openxmlformats.org/officeDocument/2006/relationships/hyperlink" Target="https://www.bigmarker.com/remedium/XXV-Warszawskie-Dni-Kardiologii-Akademickiej-dost-p-dla-lekarzy/promote_manage" TargetMode="External"/><Relationship Id="rId89" Type="http://schemas.openxmlformats.org/officeDocument/2006/relationships/hyperlink" Target="https://www.bigmarker.com/remedium/cetyryzyna-w-xxi-wieku-sprawdzona-moleku-a-czy-z-oty-standard/promote_manage" TargetMode="External"/><Relationship Id="rId80" Type="http://schemas.openxmlformats.org/officeDocument/2006/relationships/hyperlink" Target="https://www.bigmarker.com/remedium/NZDO-w-sezonie-infekcyjnym-4fd3329e7edac375866656f4/promote_manage" TargetMode="External"/><Relationship Id="rId82" Type="http://schemas.openxmlformats.org/officeDocument/2006/relationships/hyperlink" Target="https://www.bigmarker.com/remedium/Kierowcy-i-leki-czyli-o-wp-ywie-farmakoterapii-na-OUN-od-strony-medycznej-i-prawnej/promote_manage" TargetMode="External"/><Relationship Id="rId81" Type="http://schemas.openxmlformats.org/officeDocument/2006/relationships/hyperlink" Target="https://www.bigmarker.com/remedium/Badanie-Duplex-Doppler-zakrzepicy-ylnej/promote_manage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remedium.md/wideo/odpowiedzialnosc-cywilna-lekarza-i-lekarza-dentysty-w-trakcie-stazu-podyplomowego-3" TargetMode="External"/><Relationship Id="rId3" Type="http://schemas.openxmlformats.org/officeDocument/2006/relationships/hyperlink" Target="https://www.bigmarker.com/remedium/Odpowiedzialno-Cywilna-lekarza-i-lekarza-dentysty-w-trakcie-sta-u-podyplomowego-62d58f1f8077803698fbb208/promote_manage" TargetMode="External"/><Relationship Id="rId4" Type="http://schemas.openxmlformats.org/officeDocument/2006/relationships/hyperlink" Target="https://www.bigmarker.com/remedium/Ci-e-zagro-one-jak-post-powa/promote_manage" TargetMode="External"/><Relationship Id="rId9" Type="http://schemas.openxmlformats.org/officeDocument/2006/relationships/hyperlink" Target="https://www.bigmarker.com/remedium/Tajemnica-lekarska-i-prawne-mo-liwo-ci-jej-uchylenia/promote_manage" TargetMode="External"/><Relationship Id="rId141" Type="http://schemas.openxmlformats.org/officeDocument/2006/relationships/vmlDrawing" Target="../drawings/vmlDrawing1.vml"/><Relationship Id="rId140" Type="http://schemas.openxmlformats.org/officeDocument/2006/relationships/drawing" Target="../drawings/drawing2.xml"/><Relationship Id="rId5" Type="http://schemas.openxmlformats.org/officeDocument/2006/relationships/hyperlink" Target="https://www.bigmarker.com/remedium/Konferencja-Pierwsze-kroki-w-POZ-kardiologia-i-diabetologia/promote_manage" TargetMode="External"/><Relationship Id="rId6" Type="http://schemas.openxmlformats.org/officeDocument/2006/relationships/hyperlink" Target="https://www.bigmarker.com/remedium/Bayer-Academy/promote_manage" TargetMode="External"/><Relationship Id="rId7" Type="http://schemas.openxmlformats.org/officeDocument/2006/relationships/hyperlink" Target="https://www.bigmarker.com/remedium/Post-powanie-lekarza-przed-s-dem-wszystko-co-musisz-wiedzie-jako-wiadek-podejrzany-lub-pozwany-bbf75afbe23458b10056ceeb/promote_manage" TargetMode="External"/><Relationship Id="rId8" Type="http://schemas.openxmlformats.org/officeDocument/2006/relationships/hyperlink" Target="https://www.bigmarker.com/remedium/Modyfikacje-mikrobioty-u-pacjenta-z-IBS-wyb-r-czy-konieczno/promote_manage" TargetMode="External"/><Relationship Id="rId73" Type="http://schemas.openxmlformats.org/officeDocument/2006/relationships/hyperlink" Target="https://www.bigmarker.com/remedium/Konferencja-Pierwsze-kroki-w-POZ-dermatologia-reumatologia/promote_manage" TargetMode="External"/><Relationship Id="rId72" Type="http://schemas.openxmlformats.org/officeDocument/2006/relationships/hyperlink" Target="https://www.bigmarker.com/remedium/Komu-mog-powiedzie-Operowa-em-ministra-W-tpliwo-ci-dotycz-ce-tajemnicy-lekarskiej/promote_manage" TargetMode="External"/><Relationship Id="rId75" Type="http://schemas.openxmlformats.org/officeDocument/2006/relationships/hyperlink" Target="https://www.bigmarker.com/remedium/Jak-zadba-o-komfort-pacjent-w-z-infekcj-g-rnych-dr-g-oddechowych/promote_manage" TargetMode="External"/><Relationship Id="rId74" Type="http://schemas.openxmlformats.org/officeDocument/2006/relationships/hyperlink" Target="https://remedium.md/wideo/jak-zadbac-o-komfort-pacjentow-z-infekcja-gornych-drog-oddechowych-162" TargetMode="External"/><Relationship Id="rId77" Type="http://schemas.openxmlformats.org/officeDocument/2006/relationships/hyperlink" Target="https://www.bigmarker.com/remedium/ABC-diagnostyki-i-leczenia-chor-b-y-i-t-tnic-ko-czyn-dolnych/promote_manage" TargetMode="External"/><Relationship Id="rId76" Type="http://schemas.openxmlformats.org/officeDocument/2006/relationships/hyperlink" Target="https://remedium.md/wideo/abc-diagnostyki-i-leczenia-chorob-zyl-i-tetnic-konczyn-dolnych-165" TargetMode="External"/><Relationship Id="rId79" Type="http://schemas.openxmlformats.org/officeDocument/2006/relationships/hyperlink" Target="https://remedium.md/wideo/nawracajace-zakazenia-drog-oddechowych-w-sezonie-infekcyjnym-164" TargetMode="External"/><Relationship Id="rId78" Type="http://schemas.openxmlformats.org/officeDocument/2006/relationships/hyperlink" Target="https://www.bigmarker.com/remedium/BLS-bezpiecze-stwa-prawnego-lekarza-1bcdd906e93750989584e957/promote_manage" TargetMode="External"/><Relationship Id="rId71" Type="http://schemas.openxmlformats.org/officeDocument/2006/relationships/hyperlink" Target="https://www.bigmarker.com/remedium/Konferencja-Pierwsze-kroki-w-POZ-psychiatria-neurologia-b-l/promote_manage" TargetMode="External"/><Relationship Id="rId70" Type="http://schemas.openxmlformats.org/officeDocument/2006/relationships/hyperlink" Target="https://www.bigmarker.com/remedium/Narastaj-ca-antybiotykooporno-a-wyb-r-racjonalnego-leczenia-infekcji/promote_manage" TargetMode="External"/><Relationship Id="rId139" Type="http://schemas.openxmlformats.org/officeDocument/2006/relationships/hyperlink" Target="https://www.bigmarker.com/remedium/depresja-kiedy-leczy-w-gabinecie-poz-a-kiedy-kierowa-do-psychiatry/promote_manage" TargetMode="External"/><Relationship Id="rId138" Type="http://schemas.openxmlformats.org/officeDocument/2006/relationships/hyperlink" Target="https://www.notion.so/brandmed/Plan-promocji-zapisy-na-webinar-229-2025-Egis-Agomelatyna-escitalopram-wenlafaksyna-2c302785b05c8084be99c93d11e490f6?source=copy_link" TargetMode="External"/><Relationship Id="rId137" Type="http://schemas.openxmlformats.org/officeDocument/2006/relationships/hyperlink" Target="https://www.bigmarker.com/remedium/konferencja-pierwsze-kroki-w-poz-diabetologia-d0df8af31ba1/promote_manage" TargetMode="External"/><Relationship Id="rId132" Type="http://schemas.openxmlformats.org/officeDocument/2006/relationships/hyperlink" Target="https://www.bigmarker.com/remedium/xxvi-warszawskie-dni-kardiologii-akademickiej-dost-p-dla-student-w/promote_manage" TargetMode="External"/><Relationship Id="rId131" Type="http://schemas.openxmlformats.org/officeDocument/2006/relationships/hyperlink" Target="https://www.bigmarker.com/remedium/xxvi-warszawskie-dni-kardiologii-akademickiej-dost-p-dla-lekarzy/promote_manage" TargetMode="External"/><Relationship Id="rId130" Type="http://schemas.openxmlformats.org/officeDocument/2006/relationships/hyperlink" Target="https://www.bigmarker.com/remedium/konferencja-pierwsze-kroki-w-poz-diabetologia/promote_manage" TargetMode="External"/><Relationship Id="rId136" Type="http://schemas.openxmlformats.org/officeDocument/2006/relationships/hyperlink" Target="https://www.bigmarker.com/remedium/konferencja-pierwsze-kroki-w-poz-pediatria-2b9340fc2d4f/promote_manage" TargetMode="External"/><Relationship Id="rId135" Type="http://schemas.openxmlformats.org/officeDocument/2006/relationships/hyperlink" Target="https://remedium.md/konferencje/konferencja-pierwsze-kroki-w-poz-pediatria-wiosna-2026" TargetMode="External"/><Relationship Id="rId134" Type="http://schemas.openxmlformats.org/officeDocument/2006/relationships/hyperlink" Target="https://www.bigmarker.com/remedium/iii-mi-dzynarodowy-kongres-kardiomiopatii-sesja-studencka-87444c527689/promote_manage" TargetMode="External"/><Relationship Id="rId133" Type="http://schemas.openxmlformats.org/officeDocument/2006/relationships/hyperlink" Target="https://www.bigmarker.com/remedium/iii-mi-dzynarodowy-kongres-kardiomiopatii-sesja-studencka/promote_manage" TargetMode="External"/><Relationship Id="rId62" Type="http://schemas.openxmlformats.org/officeDocument/2006/relationships/hyperlink" Target="https://www.bigmarker.com/remedium/Choroby-sercowo-naczyniowe-zwi-zane-z-mia-d-yc-mo-liwo-ci-leczenia-farmakologicznego-Debata-chirurgiczno-kardiologiczna/promote_manage" TargetMode="External"/><Relationship Id="rId61" Type="http://schemas.openxmlformats.org/officeDocument/2006/relationships/hyperlink" Target="https://remedium.md/wideo/choroby-sercowo-naczyniowe-zwiazane-z-miazdzyca-mozliwosci-leczenia-farmakologicznego-145" TargetMode="External"/><Relationship Id="rId64" Type="http://schemas.openxmlformats.org/officeDocument/2006/relationships/hyperlink" Target="https://www.bigmarker.com/remedium/Kiedy-chirurdzy-trafiaj-do-s-du/promote_manage" TargetMode="External"/><Relationship Id="rId63" Type="http://schemas.openxmlformats.org/officeDocument/2006/relationships/hyperlink" Target="https://www.bigmarker.com/remedium/Czy-rodzic-zawsze-ma-racj-O-sytuacjach-problemowych-w-udzielaniu-wiadcze-zdrowotnych-pacjentom-ma-oletnim/promote_manage" TargetMode="External"/><Relationship Id="rId66" Type="http://schemas.openxmlformats.org/officeDocument/2006/relationships/hyperlink" Target="https://www.bigmarker.com/remedium/Konferencja-Pierwsze-kroki-w-POZ-infekcje-i-antybiotykoterapia/promote_manage" TargetMode="External"/><Relationship Id="rId65" Type="http://schemas.openxmlformats.org/officeDocument/2006/relationships/hyperlink" Target="https://www.bigmarker.com/remedium/Ma-Pani-takie-samo-prawo-wykonywania-zawodu-jak-ja-prosz-decydowa-czyli-o-prawach-i-obowi-zkach-rezydenta-na-oddziale/promote_manage" TargetMode="External"/><Relationship Id="rId68" Type="http://schemas.openxmlformats.org/officeDocument/2006/relationships/hyperlink" Target="https://www.bigmarker.com/remedium/5-prze-omowych-spraw-s-dowych-z-medycyny-zabiegowej/promote_manage" TargetMode="External"/><Relationship Id="rId67" Type="http://schemas.openxmlformats.org/officeDocument/2006/relationships/hyperlink" Target="https://www.bigmarker.com/remedium/7-niezb-dnych-wpis-w-w-dokumentacji-medycznej-rezydenta/promote_manage" TargetMode="External"/><Relationship Id="rId60" Type="http://schemas.openxmlformats.org/officeDocument/2006/relationships/hyperlink" Target="https://www.bigmarker.com/remedium/Od-oty-o-ci-do-niewydolno-ci-naczy-ylnych-i-mia-d-ycy-jak-zapobiega-i-leczy/promote_manage" TargetMode="External"/><Relationship Id="rId69" Type="http://schemas.openxmlformats.org/officeDocument/2006/relationships/hyperlink" Target="https://remedium.md/wideo/narastajaca-antybiotykoopornosc-a-wybor-racjonalnego-leczenia-infekcji-157" TargetMode="External"/><Relationship Id="rId51" Type="http://schemas.openxmlformats.org/officeDocument/2006/relationships/hyperlink" Target="https://www.bigmarker.com/remedium/Czy-do-ci-cia-cesarskiego-mo-na-si-przygotowa/promote_manage" TargetMode="External"/><Relationship Id="rId50" Type="http://schemas.openxmlformats.org/officeDocument/2006/relationships/hyperlink" Target="https://remedium.md/wideo/czy-do-ciecia-cesarskiego-mozna-sie-przygotowac-133" TargetMode="External"/><Relationship Id="rId53" Type="http://schemas.openxmlformats.org/officeDocument/2006/relationships/hyperlink" Target="https://www.bigmarker.com/remedium/Jak-rozpoznawa-i-post-powa-z-zaparciem-u-doros-ych/promote_manage" TargetMode="External"/><Relationship Id="rId52" Type="http://schemas.openxmlformats.org/officeDocument/2006/relationships/hyperlink" Target="https://remedium.md/edukacja/vod/jak-rozpoznawac-i-postepowac-z-zaparciem-u-doroslych-135" TargetMode="External"/><Relationship Id="rId55" Type="http://schemas.openxmlformats.org/officeDocument/2006/relationships/hyperlink" Target="https://www.bigmarker.com/remedium/Zmiany-w-kodeksie-pracy-wszystko-co-musisz-wiedzie-jako-lekarz/promote_manage" TargetMode="External"/><Relationship Id="rId54" Type="http://schemas.openxmlformats.org/officeDocument/2006/relationships/hyperlink" Target="https://www.bigmarker.com/remedium/Katar-kt-ry-nie-mija-jak-skutecznie-diagnozowa-i-leczy-alergiczny-nie-yt-nosa/promote_manage" TargetMode="External"/><Relationship Id="rId57" Type="http://schemas.openxmlformats.org/officeDocument/2006/relationships/hyperlink" Target="https://www.bigmarker.com/remedium/Praktyczne-wprowadzenie-do-terapii-suszem-konopnym-cz-2-679e6966a6d51480d81acc1c/promote_manage" TargetMode="External"/><Relationship Id="rId56" Type="http://schemas.openxmlformats.org/officeDocument/2006/relationships/hyperlink" Target="https://www.bigmarker.com/remedium/Praktyczne-wprowadzenie-do-terapii-suszem-konopnym-cz-1/promote_manage" TargetMode="External"/><Relationship Id="rId59" Type="http://schemas.openxmlformats.org/officeDocument/2006/relationships/hyperlink" Target="https://remedium.md/wideo/od-otylosci-do-niewydolnosci-naczyn-zylnych-i-miazdzycy-jak-zapobiegac-i-leczyc-144" TargetMode="External"/><Relationship Id="rId58" Type="http://schemas.openxmlformats.org/officeDocument/2006/relationships/hyperlink" Target="https://www.bigmarker.com/remedium/Makrogole-zmiana-diety-a-mo-e-probiotyki/promote_manage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remedium.md/wideo/konferencja-pierwsze-kroki-w-poz-psychiatria-neurologia-bol-jesien-2025-216/agomelatyna-w-leczeniu-depresji-689" TargetMode="External"/><Relationship Id="rId10" Type="http://schemas.openxmlformats.org/officeDocument/2006/relationships/hyperlink" Target="https://remedium.md/wideo/konferencja-pierwsze-kroki-w-poz-psychiatria-neurologia-bol-jesien-2025-216/farmakoterapia-fibromialgii-w-gabinecie-poz-687" TargetMode="External"/><Relationship Id="rId13" Type="http://schemas.openxmlformats.org/officeDocument/2006/relationships/hyperlink" Target="https://remedium.md/wideo/konferencja-pierwsze-kroki-w-poz-psychiatria-neurologia-bol-jesien-2025-216/pierwotne-bole-glowy-migrena-napieciowe-bole-glowy-jak-je-rozpoznac-i-leczyc-w-praktyce-poz-691" TargetMode="External"/><Relationship Id="rId12" Type="http://schemas.openxmlformats.org/officeDocument/2006/relationships/hyperlink" Target="https://remedium.md/wideo/konferencja-pierwsze-kroki-w-poz-psychiatria-neurologia-bol-jesien-2025-216/sesja-3-panel-dyskusyjny-690" TargetMode="External"/><Relationship Id="rId15" Type="http://schemas.openxmlformats.org/officeDocument/2006/relationships/hyperlink" Target="https://remedium.md/wideo/konferencja-pierwsze-kroki-w-poz-psychiatria-neurologia-bol-jesien-2025-216/miorelaksanty-w-praktyce-klinicznej-racjonalny-wybor-u-chorych-z-bolem-krzyza-693" TargetMode="External"/><Relationship Id="rId14" Type="http://schemas.openxmlformats.org/officeDocument/2006/relationships/hyperlink" Target="https://remedium.md/wideo/konferencja-pierwsze-kroki-w-poz-psychiatria-neurologia-bol-jesien-2025-216/low-back-pain-diagnostyka-i-leczenie-692" TargetMode="External"/><Relationship Id="rId17" Type="http://schemas.openxmlformats.org/officeDocument/2006/relationships/drawing" Target="../drawings/drawing3.xml"/><Relationship Id="rId16" Type="http://schemas.openxmlformats.org/officeDocument/2006/relationships/hyperlink" Target="https://remedium.md/wideo/konferencja-pierwsze-kroki-w-poz-psychiatria-neurologia-bol-jesien-2025-216/sesja-4-panel-dyskusyjny-695" TargetMode="External"/><Relationship Id="rId1" Type="http://schemas.openxmlformats.org/officeDocument/2006/relationships/hyperlink" Target="https://remedium.md/wideo/konferencja-pierwsze-kroki-w-poz-psychiatria-neurologia-bol-jesien-2025-216/marihuana-medyczna-dlaczego-musimy-na-nia-uwazac-w-gabinecie-poz-679" TargetMode="External"/><Relationship Id="rId2" Type="http://schemas.openxmlformats.org/officeDocument/2006/relationships/hyperlink" Target="https://remedium.md/wideo/konferencja-pierwsze-kroki-w-poz-psychiatria-neurologia-bol-jesien-2025-216/niesterydowe-leki-przeciwzapalne-podobienstwa-i-roznice-680" TargetMode="External"/><Relationship Id="rId3" Type="http://schemas.openxmlformats.org/officeDocument/2006/relationships/hyperlink" Target="https://remedium.md/wideo/konferencja-pierwsze-kroki-w-poz-psychiatria-neurologia-bol-jesien-2025-216/trazodon-w-praktyce-lekarza-poz-681" TargetMode="External"/><Relationship Id="rId4" Type="http://schemas.openxmlformats.org/officeDocument/2006/relationships/hyperlink" Target="https://remedium.md/wideo/konferencja-pierwsze-kroki-w-poz-psychiatria-neurologia-bol-jesien-2025-216/sesja-1-panel-dyskusyjny-682" TargetMode="External"/><Relationship Id="rId9" Type="http://schemas.openxmlformats.org/officeDocument/2006/relationships/hyperlink" Target="https://remedium.md/wideo/konferencja-pierwsze-kroki-w-poz-psychiatria-neurologia-bol-jesien-2025-216/zaburzenia-pamieci-w-gabinecie-poz-688" TargetMode="External"/><Relationship Id="rId5" Type="http://schemas.openxmlformats.org/officeDocument/2006/relationships/hyperlink" Target="https://remedium.md/wideo/konferencja-pierwsze-kroki-w-poz-psychiatria-neurologia-bol-jesien-2025-216/farmakoterapia-adhd-a-stan-somatyczny-pacjenta-683" TargetMode="External"/><Relationship Id="rId6" Type="http://schemas.openxmlformats.org/officeDocument/2006/relationships/hyperlink" Target="https://remedium.md/wideo/konferencja-pierwsze-kroki-w-poz-psychiatria-neurologia-bol-jesien-2025-216/jak-dobrac-lek-przeciwdepresyjny-w-poz-684" TargetMode="External"/><Relationship Id="rId7" Type="http://schemas.openxmlformats.org/officeDocument/2006/relationships/hyperlink" Target="https://remedium.md/wideo/konferencja-pierwsze-kroki-w-poz-psychiatria-neurologia-bol-jesien-2025-216/lek-i-zaburzenia-snu-czesty-problem-w-gabinecie-poz-jak-leczyc-685" TargetMode="External"/><Relationship Id="rId8" Type="http://schemas.openxmlformats.org/officeDocument/2006/relationships/hyperlink" Target="https://remedium.md/wideo/konferencja-pierwsze-kroki-w-poz-psychiatria-neurologia-bol-jesien-2025-216/sesja-2-panel-dyskusyjny-686" TargetMode="External"/></Relationships>
</file>

<file path=xl/worksheets/_rels/sheet4.xml.rels><?xml version="1.0" encoding="UTF-8" standalone="yes"?><Relationships xmlns="http://schemas.openxmlformats.org/package/2006/relationships"><Relationship Id="rId31" Type="http://schemas.openxmlformats.org/officeDocument/2006/relationships/hyperlink" Target="https://remedium.md/wideo/konferencja-pierwsze-kroki-w-poz-infekcje-szczepienia-i-antybiotykoterapia-153/diagnostyka-zakazen-oko-ucho-i-zlecenia-do-laboratorium-342" TargetMode="External"/><Relationship Id="rId30" Type="http://schemas.openxmlformats.org/officeDocument/2006/relationships/hyperlink" Target="https://remedium.md/wideo/konferencja-pierwsze-kroki-w-poz-infekcje-szczepienia-i-antybiotykoterapia-153/co-jesli-za-pierwszym-razem-sie-nie-uda-antybiotyki-w-leczeniu-skorygowanym-bakteryjnych-infekcji-gornych-drog-oddechowych-341" TargetMode="External"/><Relationship Id="rId33" Type="http://schemas.openxmlformats.org/officeDocument/2006/relationships/hyperlink" Target="https://remedium.md/wideo/konferencja-pierwsze-kroki-w-poz-infekcje-szczepienia-i-antybiotykoterapia-153/ostra-biegunka-instrukcja-obslugi-w-poz-344" TargetMode="External"/><Relationship Id="rId32" Type="http://schemas.openxmlformats.org/officeDocument/2006/relationships/hyperlink" Target="https://remedium.md/wideo/konferencja-pierwsze-kroki-w-poz-infekcje-szczepienia-i-antybiotykoterapia-153/antybiotykoterapia-praktyczna-krok-po-kroku-343" TargetMode="External"/><Relationship Id="rId35" Type="http://schemas.openxmlformats.org/officeDocument/2006/relationships/hyperlink" Target="https://remedium.md/wideo/konferencja-pierwsze-kroki-w-poz-infekcje-szczepienia-i-antybiotykoterapia-153/antybiotyki-pierwszego-rzutu-w-poz-postepowanie-w-niepowodzeniach-i-powiklaniach-346" TargetMode="External"/><Relationship Id="rId34" Type="http://schemas.openxmlformats.org/officeDocument/2006/relationships/hyperlink" Target="https://remedium.md/wideo/konferencja-pierwsze-kroki-w-poz-infekcje-szczepienia-i-antybiotykoterapia-153/antybiotyki-w-dobrej-formie-czyli-jak-ulatwic-pacjentom-przestrzeganie-zalecen-lekarza-345" TargetMode="External"/><Relationship Id="rId36" Type="http://schemas.openxmlformats.org/officeDocument/2006/relationships/drawing" Target="../drawings/drawing4.xml"/><Relationship Id="rId20" Type="http://schemas.openxmlformats.org/officeDocument/2006/relationships/hyperlink" Target="https://remedium.md/wideo/konferencja-pierwsze-kroki-w-poz-infekcje-szczepienia-i-antybiotykoterapia-153/choroby-zakazne-w-poz-co-warto-wiedziec-od-czego-zaczac-332" TargetMode="External"/><Relationship Id="rId22" Type="http://schemas.openxmlformats.org/officeDocument/2006/relationships/hyperlink" Target="https://remedium.md/wideo/konferencja-pierwsze-kroki-w-poz-infekcje-szczepienia-i-antybiotykoterapia-153/alergia-jako-czesta-przyczyna-zglaszania-sie-do-lekarza-poz-333" TargetMode="External"/><Relationship Id="rId21" Type="http://schemas.openxmlformats.org/officeDocument/2006/relationships/hyperlink" Target="https://remedium.md/wideo/konferencja-pierwsze-kroki-w-poz-infekcje-szczepienia-i-antybiotykoterapia-153/uzupelnienie-szczepien-pacjenta-z-ukrainy-na-przykladach-male-dziecko-nastolatek-i-dorosly-331" TargetMode="External"/><Relationship Id="rId24" Type="http://schemas.openxmlformats.org/officeDocument/2006/relationships/hyperlink" Target="https://remedium.md/wideo/konferencja-pierwsze-kroki-w-poz-infekcje-szczepienia-i-antybiotykoterapia-153/nawracajace-zakazenia-ukladu-moczowego-335" TargetMode="External"/><Relationship Id="rId23" Type="http://schemas.openxmlformats.org/officeDocument/2006/relationships/hyperlink" Target="https://remedium.md/wideo/konferencja-pierwsze-kroki-w-poz-infekcje-szczepienia-i-antybiotykoterapia-153/zrozumiec-szczepienia-ogolne-reguly-koadministracja-zaleglosci-przeciwwskazania-dodatkowe-dawki-brak-danych-lub-brak-szczepionki-334" TargetMode="External"/><Relationship Id="rId26" Type="http://schemas.openxmlformats.org/officeDocument/2006/relationships/hyperlink" Target="https://remedium.md/wideo/konferencja-pierwsze-kroki-w-poz-infekcje-szczepienia-i-antybiotykoterapia-153/nos-i-krtan-w-sezonie-infekcyjnym-i-alergicznym-337" TargetMode="External"/><Relationship Id="rId25" Type="http://schemas.openxmlformats.org/officeDocument/2006/relationships/hyperlink" Target="https://remedium.md/wideo/konferencja-pierwsze-kroki-w-poz-infekcje-szczepienia-i-antybiotykoterapia-153/diagnostyka-i-postepowanie-w-krztuscu-w-poz-336" TargetMode="External"/><Relationship Id="rId28" Type="http://schemas.openxmlformats.org/officeDocument/2006/relationships/hyperlink" Target="https://remedium.md/wideo/konferencja-pierwsze-kroki-w-poz-infekcje-szczepienia-i-antybiotykoterapia-153/rozpoznawanie-laboratoryjne-zakazen-ukladu-oddechowego-z-uwzglednieniem-krztusca-i-mykoplazmy-339" TargetMode="External"/><Relationship Id="rId27" Type="http://schemas.openxmlformats.org/officeDocument/2006/relationships/hyperlink" Target="https://remedium.md/wideo/konferencja-pierwsze-kroki-w-poz-infekcje-szczepienia-i-antybiotykoterapia-153/powracajacy-pacjent-rady-doswiadczonych-kolegow-w-nawracajacych-zakazeniach-drog-oddechowych-i-moczowych-338" TargetMode="External"/><Relationship Id="rId29" Type="http://schemas.openxmlformats.org/officeDocument/2006/relationships/hyperlink" Target="https://remedium.md/wideo/konferencja-pierwsze-kroki-w-poz-infekcje-szczepienia-i-antybiotykoterapia-153/co-robic-z-pacjentem-z-przewleklym-kaszlem-w-poz-340" TargetMode="External"/><Relationship Id="rId11" Type="http://schemas.openxmlformats.org/officeDocument/2006/relationships/hyperlink" Target="https://remedium.md/wideo/konferencja-pierwsze-kroki-w-poz-infekcje-szczepienia-antybiotykoterapia-jesien-2025-211/teleporada-w-zakazeniach-ukladu-oddechowego-krok-po-kroku-657" TargetMode="External"/><Relationship Id="rId10" Type="http://schemas.openxmlformats.org/officeDocument/2006/relationships/hyperlink" Target="https://remedium.md/wideo/konferencja-pierwsze-kroki-w-poz-infekcje-szczepienia-antybiotykoterapia-jesien-2025-211/sesja-2-panel-dyskusyjny-656" TargetMode="External"/><Relationship Id="rId13" Type="http://schemas.openxmlformats.org/officeDocument/2006/relationships/hyperlink" Target="https://remedium.md/wideo/konferencja-pierwsze-kroki-w-poz-infekcje-szczepienia-antybiotykoterapia-jesien-2025-211/probiotyki-od-a-do-z-659" TargetMode="External"/><Relationship Id="rId12" Type="http://schemas.openxmlformats.org/officeDocument/2006/relationships/hyperlink" Target="https://remedium.md/wideo/konferencja-pierwsze-kroki-w-poz-infekcje-szczepienia-antybiotykoterapia-jesien-2025-211/praktyczna-antybiotykoterapia-dolnych-drog-oddechowych-kiedy-beta-laktam-a-kiedy-od-makrolid-jak-dlugo-a-kiedy-rtg-658" TargetMode="External"/><Relationship Id="rId15" Type="http://schemas.openxmlformats.org/officeDocument/2006/relationships/hyperlink" Target="https://remedium.md/wideo/konferencja-pierwsze-kroki-w-poz-infekcje-szczepienia-antybiotykoterapia-jesien-2025-211/zaktualizowane-wytyczne-szczepienia-przeciwko-polpascowi-661" TargetMode="External"/><Relationship Id="rId14" Type="http://schemas.openxmlformats.org/officeDocument/2006/relationships/hyperlink" Target="https://remedium.md/wideo/konferencja-pierwsze-kroki-w-poz-infekcje-szczepienia-antybiotykoterapia-jesien-2025-211/sesja-3-panel-dyskusyjny-660" TargetMode="External"/><Relationship Id="rId17" Type="http://schemas.openxmlformats.org/officeDocument/2006/relationships/hyperlink" Target="https://remedium.md/wideo/konferencja-pierwsze-kroki-w-poz-infekcje-szczepienia-antybiotykoterapia-jesien-2025-211/ryzyko-po-65-czyli-twarde-argumenty-za-szczepieniem-przeciwko-rsv-663" TargetMode="External"/><Relationship Id="rId16" Type="http://schemas.openxmlformats.org/officeDocument/2006/relationships/hyperlink" Target="https://remedium.md/wideo/konferencja-pierwsze-kroki-w-poz-infekcje-szczepienia-antybiotykoterapia-jesien-2025-211/szczepienia-przed-w-i-po-immunosupresji-662" TargetMode="External"/><Relationship Id="rId19" Type="http://schemas.openxmlformats.org/officeDocument/2006/relationships/hyperlink" Target="https://posthog.remedium.md/project/1/notebooks/jlYykZB8" TargetMode="External"/><Relationship Id="rId18" Type="http://schemas.openxmlformats.org/officeDocument/2006/relationships/hyperlink" Target="https://remedium.md/wideo/konferencja-pierwsze-kroki-w-poz-infekcje-szczepienia-antybiotykoterapia-jesien-2025-211/sesja-4-panel-dyskusyjny-664" TargetMode="External"/><Relationship Id="rId1" Type="http://schemas.openxmlformats.org/officeDocument/2006/relationships/hyperlink" Target="https://posthog.remedium.md/project/1/notebooks/cUcFsZMn" TargetMode="External"/><Relationship Id="rId2" Type="http://schemas.openxmlformats.org/officeDocument/2006/relationships/hyperlink" Target="https://www.notion.so/brandmed/PKwPOZ-infekcje-promocja-VOD-19202785b05c805c85f1d4cb4fbf2122" TargetMode="External"/><Relationship Id="rId3" Type="http://schemas.openxmlformats.org/officeDocument/2006/relationships/hyperlink" Target="https://remedium.md/wideo/konferencja-pierwsze-kroki-w-poz-infekcje-szczepienia-antybiotykoterapia-jesien-2025-211/covid-19-w-2025-roku-aktualne-wytyczne-szczepien-i-leczenia-649" TargetMode="External"/><Relationship Id="rId4" Type="http://schemas.openxmlformats.org/officeDocument/2006/relationships/hyperlink" Target="https://remedium.md/wideo/konferencja-pierwsze-kroki-w-poz-infekcje-szczepienia-antybiotykoterapia-jesien-2025-211/czy-terapia-sekwencyjna-moze-byc-przydatna-w-niezytach-nosa-650" TargetMode="External"/><Relationship Id="rId9" Type="http://schemas.openxmlformats.org/officeDocument/2006/relationships/hyperlink" Target="https://remedium.md/wideo/konferencja-pierwsze-kroki-w-poz-infekcje-szczepienia-antybiotykoterapia-jesien-2025-211/amoksycylina-z-klawulanianem-czy-solo-ktory-antybiotyk-wybrac-zgodnie-z-ebm-655" TargetMode="External"/><Relationship Id="rId5" Type="http://schemas.openxmlformats.org/officeDocument/2006/relationships/hyperlink" Target="https://remedium.md/wideo/konferencja-pierwsze-kroki-w-poz-infekcje-szczepienia-antybiotykoterapia-jesien-2025-211/szczepienia-doroslych-pneumokoki-krztusiec-polpasiec-i-rsv-zasady-i-praktyczne-rady-651" TargetMode="External"/><Relationship Id="rId6" Type="http://schemas.openxmlformats.org/officeDocument/2006/relationships/hyperlink" Target="https://remedium.md/wideo/konferencja-pierwsze-kroki-w-poz-infekcje-szczepienia-antybiotykoterapia-jesien-2025-211/sesja-1-panel-dyskusyjny-652" TargetMode="External"/><Relationship Id="rId7" Type="http://schemas.openxmlformats.org/officeDocument/2006/relationships/hyperlink" Target="https://remedium.md/wideo/konferencja-pierwsze-kroki-w-poz-infekcje-szczepienia-antybiotykoterapia-jesien-2025-211/czynniki-ryzyka-zawodowego-lekarza-ekspozycja-na-drobnoustroje-i-szczepienia-personelu-653" TargetMode="External"/><Relationship Id="rId8" Type="http://schemas.openxmlformats.org/officeDocument/2006/relationships/hyperlink" Target="https://remedium.md/wideo/konferencja-pierwsze-kroki-w-poz-infekcje-szczepienia-antybiotykoterapia-jesien-2025-211/medycyna-podrozy-aktualizacja-o-nowe-zagrozenia-i-mozliwosci-profilaktyki-654" TargetMode="Externa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s://remedium.md/wideo/konferencja-pierwsze-kroki-w-poz-psychiatria-neurologia-bol-jesien-2025-216/zaburzenia-pamieci-w-gabinecie-poz-688" TargetMode="External"/><Relationship Id="rId10" Type="http://schemas.openxmlformats.org/officeDocument/2006/relationships/hyperlink" Target="https://remedium.md/wideo/konferencja-pierwsze-kroki-w-poz-psychiatria-neurologia-bol-jesien-2025-216/sesja-2-panel-dyskusyjny-686" TargetMode="External"/><Relationship Id="rId13" Type="http://schemas.openxmlformats.org/officeDocument/2006/relationships/hyperlink" Target="https://remedium.md/wideo/konferencja-pierwsze-kroki-w-poz-psychiatria-neurologia-bol-jesien-2025-216/agomelatyna-w-leczeniu-depresji-689" TargetMode="External"/><Relationship Id="rId12" Type="http://schemas.openxmlformats.org/officeDocument/2006/relationships/hyperlink" Target="https://remedium.md/wideo/konferencja-pierwsze-kroki-w-poz-psychiatria-neurologia-bol-jesien-2025-216/farmakoterapia-fibromialgii-w-gabinecie-poz-687" TargetMode="External"/><Relationship Id="rId15" Type="http://schemas.openxmlformats.org/officeDocument/2006/relationships/hyperlink" Target="https://remedium.md/wideo/konferencja-pierwsze-kroki-w-poz-psychiatria-neurologia-bol-jesien-2025-216/pierwotne-bole-glowy-migrena-napieciowe-bole-glowy-jak-je-rozpoznac-i-leczyc-w-praktyce-poz-691" TargetMode="External"/><Relationship Id="rId14" Type="http://schemas.openxmlformats.org/officeDocument/2006/relationships/hyperlink" Target="https://remedium.md/wideo/konferencja-pierwsze-kroki-w-poz-psychiatria-neurologia-bol-jesien-2025-216/sesja-3-panel-dyskusyjny-690" TargetMode="External"/><Relationship Id="rId17" Type="http://schemas.openxmlformats.org/officeDocument/2006/relationships/hyperlink" Target="https://remedium.md/wideo/konferencja-pierwsze-kroki-w-poz-psychiatria-neurologia-bol-jesien-2025-216/miorelaksanty-w-praktyce-klinicznej-racjonalny-wybor-u-chorych-z-bolem-krzyza-693" TargetMode="External"/><Relationship Id="rId16" Type="http://schemas.openxmlformats.org/officeDocument/2006/relationships/hyperlink" Target="https://remedium.md/wideo/konferencja-pierwsze-kroki-w-poz-psychiatria-neurologia-bol-jesien-2025-216/low-back-pain-diagnostyka-i-leczenie-692" TargetMode="External"/><Relationship Id="rId19" Type="http://schemas.openxmlformats.org/officeDocument/2006/relationships/drawing" Target="../drawings/drawing5.xml"/><Relationship Id="rId18" Type="http://schemas.openxmlformats.org/officeDocument/2006/relationships/hyperlink" Target="https://remedium.md/wideo/konferencja-pierwsze-kroki-w-poz-psychiatria-neurologia-bol-jesien-2025-216/sesja-4-panel-dyskusyjny-695" TargetMode="External"/><Relationship Id="rId1" Type="http://schemas.openxmlformats.org/officeDocument/2006/relationships/hyperlink" Target="https://posthog.remedium.md/project/1/notebooks/NXZFqyA6" TargetMode="External"/><Relationship Id="rId2" Type="http://schemas.openxmlformats.org/officeDocument/2006/relationships/hyperlink" Target="https://www.notion.so/brandmed/PKwPOZ-psychiatria-neurologia-b-l-promocja-VOD-1ca02785b05c8077afb1f922c0381506?source=copy_link" TargetMode="External"/><Relationship Id="rId3" Type="http://schemas.openxmlformats.org/officeDocument/2006/relationships/hyperlink" Target="https://remedium.md/wideo/konferencja-pierwsze-kroki-w-poz-psychiatria-neurologia-bol-jesien-2025-216/marihuana-medyczna-dlaczego-musimy-na-nia-uwazac-w-gabinecie-poz-679" TargetMode="External"/><Relationship Id="rId4" Type="http://schemas.openxmlformats.org/officeDocument/2006/relationships/hyperlink" Target="https://remedium.md/wideo/konferencja-pierwsze-kroki-w-poz-psychiatria-neurologia-bol-jesien-2025-216/niesterydowe-leki-przeciwzapalne-podobienstwa-i-roznice-680" TargetMode="External"/><Relationship Id="rId9" Type="http://schemas.openxmlformats.org/officeDocument/2006/relationships/hyperlink" Target="https://remedium.md/wideo/konferencja-pierwsze-kroki-w-poz-psychiatria-neurologia-bol-jesien-2025-216/lek-i-zaburzenia-snu-czesty-problem-w-gabinecie-poz-jak-leczyc-685" TargetMode="External"/><Relationship Id="rId5" Type="http://schemas.openxmlformats.org/officeDocument/2006/relationships/hyperlink" Target="https://remedium.md/wideo/konferencja-pierwsze-kroki-w-poz-psychiatria-neurologia-bol-jesien-2025-216/trazodon-w-praktyce-lekarza-poz-681" TargetMode="External"/><Relationship Id="rId6" Type="http://schemas.openxmlformats.org/officeDocument/2006/relationships/hyperlink" Target="https://remedium.md/wideo/konferencja-pierwsze-kroki-w-poz-psychiatria-neurologia-bol-jesien-2025-216/sesja-1-panel-dyskusyjny-682" TargetMode="External"/><Relationship Id="rId7" Type="http://schemas.openxmlformats.org/officeDocument/2006/relationships/hyperlink" Target="https://remedium.md/wideo/konferencja-pierwsze-kroki-w-poz-psychiatria-neurologia-bol-jesien-2025-216/farmakoterapia-adhd-a-stan-somatyczny-pacjenta-683" TargetMode="External"/><Relationship Id="rId8" Type="http://schemas.openxmlformats.org/officeDocument/2006/relationships/hyperlink" Target="https://remedium.md/wideo/konferencja-pierwsze-kroki-w-poz-psychiatria-neurologia-bol-jesien-2025-216/jak-dobrac-lek-przeciwdepresyjny-w-poz-684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remedium.md/wideo/konferencja-pierwsze-kroki-w-poz-gastroenterologia-109/diagnostyka-i-leczenie-niedokrwistosci-w-nieswoistych-zapalnych-chorobach-jelit-175" TargetMode="External"/><Relationship Id="rId42" Type="http://schemas.openxmlformats.org/officeDocument/2006/relationships/hyperlink" Target="https://remedium.md/wideo/konferencja-pierwsze-kroki-w-poz-gastroenterologia-109/panel-dyskusyjny-cz-ii-177" TargetMode="External"/><Relationship Id="rId41" Type="http://schemas.openxmlformats.org/officeDocument/2006/relationships/hyperlink" Target="https://remedium.md/wideo/konferencja-pierwsze-kroki-w-poz-gastroenterologia-109/jak-dobrze-przygotowac-pacjenta-do-kolonoskopii-176" TargetMode="External"/><Relationship Id="rId43" Type="http://schemas.openxmlformats.org/officeDocument/2006/relationships/drawing" Target="../drawings/drawing6.xml"/><Relationship Id="rId31" Type="http://schemas.openxmlformats.org/officeDocument/2006/relationships/hyperlink" Target="https://remedium.md/wideo/konferencja-pierwsze-kroki-w-poz-gastroenterologia-170/cholestatyczne-i-autoimmunologiczne-choroby-watroby-wstepna-diagnostyka-w-poz-i-leczenie-podtrzymujace-413" TargetMode="External"/><Relationship Id="rId30" Type="http://schemas.openxmlformats.org/officeDocument/2006/relationships/hyperlink" Target="https://remedium.md/wideo/konferencja-pierwsze-kroki-w-poz-gastroenterologia-170/panel-dyskusyjny-czesc-iii-412" TargetMode="External"/><Relationship Id="rId33" Type="http://schemas.openxmlformats.org/officeDocument/2006/relationships/hyperlink" Target="https://remedium.md/wideo/konferencja-pierwsze-kroki-w-poz-gastroenterologia-170/jakie-zelazo-wybrac-aby-uniknac-dyskomfortu-415" TargetMode="External"/><Relationship Id="rId32" Type="http://schemas.openxmlformats.org/officeDocument/2006/relationships/hyperlink" Target="https://remedium.md/wideo/konferencja-pierwsze-kroki-w-poz-gastroenterologia-170/cholestatyczne-i-autoimmunologiczne-choroby-watroby-u-dzieci-jak-rozpoznac-w-poz-414" TargetMode="External"/><Relationship Id="rId35" Type="http://schemas.openxmlformats.org/officeDocument/2006/relationships/hyperlink" Target="https://remedium.md/wideo/konferencja-pierwsze-kroki-w-poz-gastroenterologia-109/czy-powodzenie-terapii-eradykacyjnej-zawsze-tkwi-w-doborze-schematu-leczenia-170" TargetMode="External"/><Relationship Id="rId34" Type="http://schemas.openxmlformats.org/officeDocument/2006/relationships/hyperlink" Target="https://remedium.md/wideo/konferencja-pierwsze-kroki-w-poz-gastroenterologia-170/panel-dyskusyjny-czesc-iv-416" TargetMode="External"/><Relationship Id="rId37" Type="http://schemas.openxmlformats.org/officeDocument/2006/relationships/hyperlink" Target="https://remedium.md/wideo/konferencja-pierwsze-kroki-w-poz-gastroenterologia-109/nowe-aspekty-probiotykoterapii-w-zespole-jelita-nadwrazliwego-172" TargetMode="External"/><Relationship Id="rId36" Type="http://schemas.openxmlformats.org/officeDocument/2006/relationships/hyperlink" Target="https://remedium.md/wideo/konferencja-pierwsze-kroki-w-poz-gastroenterologia-109/zrozumiec-nafldmasld-171" TargetMode="External"/><Relationship Id="rId39" Type="http://schemas.openxmlformats.org/officeDocument/2006/relationships/hyperlink" Target="https://remedium.md/wideo/konferencja-pierwsze-kroki-w-poz-gastroenterologia-109/leczenie-choroby-refluksowej-rola-terapii-laczonej-174" TargetMode="External"/><Relationship Id="rId38" Type="http://schemas.openxmlformats.org/officeDocument/2006/relationships/hyperlink" Target="https://remedium.md/wideo/konferencja-pierwsze-kroki-w-poz-gastroenterologia-109/panel-dyskusyjny-cz-i-173" TargetMode="External"/><Relationship Id="rId20" Type="http://schemas.openxmlformats.org/officeDocument/2006/relationships/hyperlink" Target="https://remedium.md/wideo/konferencja-pierwsze-kroki-w-poz-gastroenterologia-170/colitis-ulcerosa-w-praktyce-lekarza-rodzinnego-402" TargetMode="External"/><Relationship Id="rId22" Type="http://schemas.openxmlformats.org/officeDocument/2006/relationships/hyperlink" Target="https://remedium.md/wideo/konferencja-pierwsze-kroki-w-poz-gastroenterologia-170/panel-dyskusyjny-czesc-i-404" TargetMode="External"/><Relationship Id="rId21" Type="http://schemas.openxmlformats.org/officeDocument/2006/relationships/hyperlink" Target="https://remedium.md/wideo/konferencja-pierwsze-kroki-w-poz-gastroenterologia-170/wskazania-do-kontynuacji-odstawienia-wlaczonych-ipp-403" TargetMode="External"/><Relationship Id="rId24" Type="http://schemas.openxmlformats.org/officeDocument/2006/relationships/hyperlink" Target="https://remedium.md/wideo/konferencja-pierwsze-kroki-w-poz-gastroenterologia-170/gerd-diagnostyka-leczenie-nadzor-406" TargetMode="External"/><Relationship Id="rId23" Type="http://schemas.openxmlformats.org/officeDocument/2006/relationships/hyperlink" Target="https://remedium.md/wideo/konferencja-pierwsze-kroki-w-poz-gastroenterologia-170/alergie-pokarmowe-405" TargetMode="External"/><Relationship Id="rId26" Type="http://schemas.openxmlformats.org/officeDocument/2006/relationships/hyperlink" Target="https://remedium.md/wideo/konferencja-pierwsze-kroki-w-poz-gastroenterologia-170/panel-dyskusyjny-czesc-ii-408" TargetMode="External"/><Relationship Id="rId25" Type="http://schemas.openxmlformats.org/officeDocument/2006/relationships/hyperlink" Target="https://remedium.md/wideo/konferencja-pierwsze-kroki-w-poz-gastroenterologia-170/diagnostyka-i-eradykacja-helicobacter-pylori-407" TargetMode="External"/><Relationship Id="rId28" Type="http://schemas.openxmlformats.org/officeDocument/2006/relationships/hyperlink" Target="https://remedium.md/wideo/konferencja-pierwsze-kroki-w-poz-gastroenterologia-170/przewlekle-zapalenie-zoladka-co-zrobic-dalej-410" TargetMode="External"/><Relationship Id="rId27" Type="http://schemas.openxmlformats.org/officeDocument/2006/relationships/hyperlink" Target="https://remedium.md/wideo/konferencja-pierwsze-kroki-w-poz-gastroenterologia-170/polipy-zoladka-i-jelita-grubego-nadzor-po-polipektomii-409" TargetMode="External"/><Relationship Id="rId29" Type="http://schemas.openxmlformats.org/officeDocument/2006/relationships/hyperlink" Target="https://remedium.md/wideo/konferencja-pierwsze-kroki-w-poz-gastroenterologia-170/jak-latwo-rozpoznac-stluszczenie-watroby-w-gabinecie-lekarza-poz-411" TargetMode="External"/><Relationship Id="rId11" Type="http://schemas.openxmlformats.org/officeDocument/2006/relationships/hyperlink" Target="https://remedium.md/wideo/pierwsze-kroki-w-poz-gastroenterologia-jesien-2025-221/celiakia-a-moze-cos-jeszcze-713" TargetMode="External"/><Relationship Id="rId10" Type="http://schemas.openxmlformats.org/officeDocument/2006/relationships/hyperlink" Target="https://remedium.md/wideo/pierwsze-kroki-w-poz-gastroenterologia-jesien-2025-221/sesja-2-panel-dyskusyjny-712" TargetMode="External"/><Relationship Id="rId13" Type="http://schemas.openxmlformats.org/officeDocument/2006/relationships/hyperlink" Target="https://remedium.md/wideo/pierwsze-kroki-w-poz-gastroenterologia-jesien-2025-221/zaparcie-czynnosciowe-u-dzieci-od-rozpoznania-do-skutecznego-leczenia-715" TargetMode="External"/><Relationship Id="rId12" Type="http://schemas.openxmlformats.org/officeDocument/2006/relationships/hyperlink" Target="https://remedium.md/wideo/pierwsze-kroki-w-poz-gastroenterologia-jesien-2025-221/choroby-odzwierzece-i-pasozytnicze-przewodu-pokarmowego-714" TargetMode="External"/><Relationship Id="rId15" Type="http://schemas.openxmlformats.org/officeDocument/2006/relationships/hyperlink" Target="https://remedium.md/wideo/pierwsze-kroki-w-poz-gastroenterologia-jesien-2025-221/os-mozg-jelito-717" TargetMode="External"/><Relationship Id="rId14" Type="http://schemas.openxmlformats.org/officeDocument/2006/relationships/hyperlink" Target="https://remedium.md/wideo/pierwsze-kroki-w-poz-gastroenterologia-jesien-2025-221/sesja-3-panel-dyskusyjny-716" TargetMode="External"/><Relationship Id="rId17" Type="http://schemas.openxmlformats.org/officeDocument/2006/relationships/hyperlink" Target="https://remedium.md/wideo/pierwsze-kroki-w-poz-gastroenterologia-jesien-2025-221/choroba-wilsona-co-trzeba-wiedziec-719" TargetMode="External"/><Relationship Id="rId16" Type="http://schemas.openxmlformats.org/officeDocument/2006/relationships/hyperlink" Target="https://remedium.md/wideo/pierwsze-kroki-w-poz-gastroenterologia-jesien-2025-221/eozynofilowe-zapalenie-przelyku-718" TargetMode="External"/><Relationship Id="rId19" Type="http://schemas.openxmlformats.org/officeDocument/2006/relationships/hyperlink" Target="https://remedium.md/wideo/konferencja-pierwsze-kroki-w-poz-gastroenterologia-170/ibs-objawy-leczenie-krew-utajona-w-kale-dodatnia-czy-zawsze-wykonywac-kolonoskopie-sibo-objawy-leczenie-401" TargetMode="External"/><Relationship Id="rId18" Type="http://schemas.openxmlformats.org/officeDocument/2006/relationships/hyperlink" Target="https://remedium.md/wideo/pierwsze-kroki-w-poz-gastroenterologia-jesien-2025-221/sesja-4-panel-dyskusyjny-720" TargetMode="External"/><Relationship Id="rId1" Type="http://schemas.openxmlformats.org/officeDocument/2006/relationships/hyperlink" Target="https://posthog.remedium.md/project/1/notebooks/pkfQw8j9" TargetMode="External"/><Relationship Id="rId2" Type="http://schemas.openxmlformats.org/officeDocument/2006/relationships/hyperlink" Target="https://www.notion.so/brandmed/PKwPOZ-gastroenterologia-promocja-VOD-1cb02785b05c80b589c3e97f06c099c0?source=copy_link" TargetMode="External"/><Relationship Id="rId3" Type="http://schemas.openxmlformats.org/officeDocument/2006/relationships/hyperlink" Target="https://remedium.md/wideo/pierwsze-kroki-w-poz-gastroenterologia-jesien-2025-221/zaburzenia-wchlaniania-kiedy-podejrzewac-diagnostyka-i-leczenie-705" TargetMode="External"/><Relationship Id="rId4" Type="http://schemas.openxmlformats.org/officeDocument/2006/relationships/hyperlink" Target="https://remedium.md/wideo/pierwsze-kroki-w-poz-gastroenterologia-jesien-2025-221/sibo-706" TargetMode="External"/><Relationship Id="rId9" Type="http://schemas.openxmlformats.org/officeDocument/2006/relationships/hyperlink" Target="https://remedium.md/wideo/pierwsze-kroki-w-poz-gastroenterologia-jesien-2025-221/postepy-w-zakazeniu-leczenia-helicobacter-pylori-aktualne-dane-z-europejskiego-rejestru-leczenia-h-pylori-711" TargetMode="External"/><Relationship Id="rId5" Type="http://schemas.openxmlformats.org/officeDocument/2006/relationships/hyperlink" Target="https://remedium.md/wideo/pierwsze-kroki-w-poz-gastroenterologia-jesien-2025-221/probiotyki-wieloszczepowe-w-utrzymywaniu-remisji-zespolow-nakladania-ibs-i-ibd-707" TargetMode="External"/><Relationship Id="rId6" Type="http://schemas.openxmlformats.org/officeDocument/2006/relationships/hyperlink" Target="https://remedium.md/wideo/pierwsze-kroki-w-poz-gastroenterologia-jesien-2025-221/sesja-1-panel-dyskusyjny-708" TargetMode="External"/><Relationship Id="rId7" Type="http://schemas.openxmlformats.org/officeDocument/2006/relationships/hyperlink" Target="https://remedium.md/wideo/pierwsze-kroki-w-poz-gastroenterologia-jesien-2025-221/mikroskopowe-zapalenie-jelita-grubego-709" TargetMode="External"/><Relationship Id="rId8" Type="http://schemas.openxmlformats.org/officeDocument/2006/relationships/hyperlink" Target="https://remedium.md/wideo/pierwsze-kroki-w-poz-gastroenterologia-jesien-2025-221/wszystko-o-uchylkach-710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remedium.md/wideo/konferencja-pierwsze-kroki-w-poz-kardiologia-i-diabetologia-ii-edycja-108/panel-dyskusyjny-czesc-iv-157" TargetMode="External"/><Relationship Id="rId42" Type="http://schemas.openxmlformats.org/officeDocument/2006/relationships/hyperlink" Target="https://remedium.md/edukacja/vod/konferencja-pierwsze-kroki-w-poz-kardiologia-i-diabetologia-ii-edycja-108/wytyczne-prewencji-cvd-2023-dla-lekarza-poz-159" TargetMode="External"/><Relationship Id="rId41" Type="http://schemas.openxmlformats.org/officeDocument/2006/relationships/hyperlink" Target="https://remedium.md/edukacja/vod/konferencja-pierwsze-kroki-w-poz-kardiologia-i-diabetologia-ii-edycja-108/wyzwania-w-leczeniu-zaburzen-lipidowych-w-polsce-158" TargetMode="External"/><Relationship Id="rId44" Type="http://schemas.openxmlformats.org/officeDocument/2006/relationships/hyperlink" Target="https://remedium.md/edukacja/vod/konferencja-pierwsze-kroki-w-poz-kardiologia-i-diabetologia-ii-edycja-108/rola-potasu-w-prewencji-chorob-sercowo-naczyniowych-161" TargetMode="External"/><Relationship Id="rId43" Type="http://schemas.openxmlformats.org/officeDocument/2006/relationships/hyperlink" Target="https://remedium.md/edukacja/vod/konferencja-pierwsze-kroki-w-poz-kardiologia-i-diabetologia-ii-edycja-108/rola-magnezu-w-prewencji-chorob-sercowo-naczyniowych-160" TargetMode="External"/><Relationship Id="rId46" Type="http://schemas.openxmlformats.org/officeDocument/2006/relationships/hyperlink" Target="https://remedium.md/wideo/konferencja-pierwsze-kroki-w-poz-kardiologia-i-diabetologia-ii-edycja-108/panel-dyskusyjny-czesc-v-163" TargetMode="External"/><Relationship Id="rId45" Type="http://schemas.openxmlformats.org/officeDocument/2006/relationships/hyperlink" Target="https://remedium.md/edukacja/vod/konferencja-pierwsze-kroki-w-poz-kardiologia-i-diabetologia-ii-edycja-108/pacjent-z-niedokrwistoscia-z-niedoboru-zelaza-162" TargetMode="External"/><Relationship Id="rId48" Type="http://schemas.openxmlformats.org/officeDocument/2006/relationships/hyperlink" Target="https://remedium.md/wideo/konferencja-pierwsze-kroki-w-poz-kardiologia-i-diabetologia-ii-edycja-108/panel-dyskusyjny-czesc-vi-165" TargetMode="External"/><Relationship Id="rId47" Type="http://schemas.openxmlformats.org/officeDocument/2006/relationships/hyperlink" Target="https://remedium.md/edukacja/vod/konferencja-pierwsze-kroki-w-poz-kardiologia-i-diabetologia-ii-edycja-108/jak-diagnozowac-i-leczyc-powiklania-cukrzycy-typu-2-164" TargetMode="External"/><Relationship Id="rId49" Type="http://schemas.openxmlformats.org/officeDocument/2006/relationships/hyperlink" Target="https://remedium.md/edukacja/vod/konferencja-pierwsze-kroki-w-poz-kardiologia-i-diabetologia-ii-edycja-108/najnowsze-wytyczne-ostrych-zespolow-wiencowych-166" TargetMode="External"/><Relationship Id="rId31" Type="http://schemas.openxmlformats.org/officeDocument/2006/relationships/hyperlink" Target="https://remedium.md/edukacja/vod/konferencja-pierwsze-kroki-w-poz-kardiologia-i-diabetologia-ii-edycja-108/pacjent-z-niewydolnoscia-serca-i-pchn-jak-zarzadzic-ryzykiem-pacjenta-148" TargetMode="External"/><Relationship Id="rId30" Type="http://schemas.openxmlformats.org/officeDocument/2006/relationships/hyperlink" Target="https://remedium.md/wideo/konferencja-pierwsze-kroki-w-poz-kardiologia-i-diabetologia-ii-edycja-108/panel-dyskusyjny-czesc-i-147" TargetMode="External"/><Relationship Id="rId33" Type="http://schemas.openxmlformats.org/officeDocument/2006/relationships/hyperlink" Target="https://remedium.md/wideo/konferencja-pierwsze-kroki-w-poz-kardiologia-i-diabetologia-ii-edycja-108/panel-dyskusyjny-czesc-ii-150" TargetMode="External"/><Relationship Id="rId32" Type="http://schemas.openxmlformats.org/officeDocument/2006/relationships/hyperlink" Target="https://remedium.md/edukacja/vod/konferencja-pierwsze-kroki-w-poz-kardiologia-i-diabetologia-ii-edycja-108/aktualizacja-wytycznych-leczenia-niewydolnosci-serca-2023-149" TargetMode="External"/><Relationship Id="rId35" Type="http://schemas.openxmlformats.org/officeDocument/2006/relationships/hyperlink" Target="https://remedium.md/edukacja/vod/konferencja-pierwsze-kroki-w-poz-kardiologia-i-diabetologia-ii-edycja-108/inicjacja-terapii-noac-w-gabinecie-poz-152" TargetMode="External"/><Relationship Id="rId34" Type="http://schemas.openxmlformats.org/officeDocument/2006/relationships/hyperlink" Target="https://remedium.md/edukacja/vod/konferencja-pierwsze-kroki-w-poz-kardiologia-i-diabetologia-ii-edycja-108/wytyczne-leczenia-migotania-przedsionkow-2020-151" TargetMode="External"/><Relationship Id="rId37" Type="http://schemas.openxmlformats.org/officeDocument/2006/relationships/hyperlink" Target="https://remedium.md/edukacja/vod/konferencja-pierwsze-kroki-w-poz-kardiologia-i-diabetologia-ii-edycja-108/wytyczne-cvd-i-diabetologiczne-2023-154" TargetMode="External"/><Relationship Id="rId36" Type="http://schemas.openxmlformats.org/officeDocument/2006/relationships/hyperlink" Target="https://remedium.md/wideo/konferencja-pierwsze-kroki-w-poz-kardiologia-i-diabetologia-ii-edycja-108/panel-dyskusyjny-czesc-iii-153" TargetMode="External"/><Relationship Id="rId39" Type="http://schemas.openxmlformats.org/officeDocument/2006/relationships/hyperlink" Target="https://remedium.md/edukacja/vod/konferencja-pierwsze-kroki-w-poz-kardiologia-i-diabetologia-ii-edycja-108/diagnoza-cukrzycy-w-gabinecie-lekarza-poz-156" TargetMode="External"/><Relationship Id="rId38" Type="http://schemas.openxmlformats.org/officeDocument/2006/relationships/hyperlink" Target="https://remedium.md/edukacja/vod/konferencja-pierwsze-kroki-w-poz-kardiologia-i-diabetologia-ii-edycja-108/implantowany-dlugoterminowy-sensor-ciaglego-pomiaru-stezenia-glukozy-cgm-w-zasiegu-reki-155" TargetMode="External"/><Relationship Id="rId20" Type="http://schemas.openxmlformats.org/officeDocument/2006/relationships/hyperlink" Target="https://remedium.md/wideo/konferencja-pierwsze-kroki-w-poz-kardiologia-i-diabetologia-10/bol-w-klatce-piersiowej-lukasz-januszkiewicz-8" TargetMode="External"/><Relationship Id="rId22" Type="http://schemas.openxmlformats.org/officeDocument/2006/relationships/hyperlink" Target="https://remedium.md/wideo/konferencja-pierwsze-kroki-w-poz-kardiologia-i-diabetologia-10/dusznosc-dr-hab-n-med-krzysztof-ozieranski-10" TargetMode="External"/><Relationship Id="rId21" Type="http://schemas.openxmlformats.org/officeDocument/2006/relationships/hyperlink" Target="https://remedium.md/wideo/konferencja-pierwsze-kroki-w-poz-kardiologia-i-diabetologia-10/kolatanie-serca-drhab-n-med-i-n-o-zdr-pawel-balsam-9" TargetMode="External"/><Relationship Id="rId24" Type="http://schemas.openxmlformats.org/officeDocument/2006/relationships/hyperlink" Target="https://remedium.md/wideo/konferencja-pierwsze-kroki-w-poz-kardiologia-i-diabetologia-10/ablacja-lek-bartosz-krzowski-12" TargetMode="External"/><Relationship Id="rId23" Type="http://schemas.openxmlformats.org/officeDocument/2006/relationships/hyperlink" Target="https://remedium.md/wideo/konferencja-pierwsze-kroki-w-poz-kardiologia-i-diabetologia-10/zaostrzenie-niewydolnosci-serca-dr-hab-n-med-i-n-o-zdr-pawel-balsam-11" TargetMode="External"/><Relationship Id="rId26" Type="http://schemas.openxmlformats.org/officeDocument/2006/relationships/hyperlink" Target="https://remedium.md/wideo/konferencja-pierwsze-kroki-w-poz-kardiologia-i-diabetologia-10/zawal-serca-dr-hab-n-med-krzysztof-ozieranski-14" TargetMode="External"/><Relationship Id="rId25" Type="http://schemas.openxmlformats.org/officeDocument/2006/relationships/hyperlink" Target="https://remedium.md/wideo/konferencja-pierwsze-kroki-w-poz-kardiologia-i-diabetologia-10/epizod-zatorowosci-plucnej-dr-n-med-aneta-klotzka-13" TargetMode="External"/><Relationship Id="rId28" Type="http://schemas.openxmlformats.org/officeDocument/2006/relationships/hyperlink" Target="https://remedium.md/edukacja/vod/konferencja-pierwsze-kroki-w-poz-kardiologia-i-diabetologia-ii-edycja-108/pacjent-kardio-metaboliczny-z-nt-144" TargetMode="External"/><Relationship Id="rId27" Type="http://schemas.openxmlformats.org/officeDocument/2006/relationships/hyperlink" Target="https://remedium.md/edukacja/vod/konferencja-pierwsze-kroki-w-poz-kardiologia-i-diabetologia-ii-edycja-108/wytyczne-leczenia-nadcisnienia-tetniczego-2023-143" TargetMode="External"/><Relationship Id="rId29" Type="http://schemas.openxmlformats.org/officeDocument/2006/relationships/hyperlink" Target="https://remedium.md/edukacja/vod/konferencja-pierwsze-kroki-w-poz-kardiologia-i-diabetologia-ii-edycja-108/wytyczne-esh-i-esc-2023-nowa-odslona-beta-adrenolitykow-w-terapii-nadcisnienia-tetniczego-i-niewydolnosci-serca-146" TargetMode="External"/><Relationship Id="rId11" Type="http://schemas.openxmlformats.org/officeDocument/2006/relationships/hyperlink" Target="https://remedium.md/wideo/pierwsze-kroki-w-poz-kardiologia-jesien-2025-223/leczenie-przeciwkrzepliwe-i-przeciwplytkowe-przed-i-po-operacjach-zabiegach-734" TargetMode="External"/><Relationship Id="rId10" Type="http://schemas.openxmlformats.org/officeDocument/2006/relationships/hyperlink" Target="https://remedium.md/wideo/pierwsze-kroki-w-poz-kardiologia-jesien-2025-223/sesja-2-panel-dyskusyjny-733" TargetMode="External"/><Relationship Id="rId13" Type="http://schemas.openxmlformats.org/officeDocument/2006/relationships/hyperlink" Target="https://remedium.md/wideo/pierwsze-kroki-w-poz-kardiologia-jesien-2025-223/ktorych-pacjentow-i-jak-leczyc-przeciwkrzepliwie-736" TargetMode="External"/><Relationship Id="rId12" Type="http://schemas.openxmlformats.org/officeDocument/2006/relationships/hyperlink" Target="https://remedium.md/wideo/pierwsze-kroki-w-poz-kardiologia-jesien-2025-223/leczenie-zaburzen-rytmu-liczne-dodatkowe-zaburzenia-komorowe-735" TargetMode="External"/><Relationship Id="rId15" Type="http://schemas.openxmlformats.org/officeDocument/2006/relationships/hyperlink" Target="https://remedium.md/wideo/pierwsze-kroki-w-poz-kardiologia-jesien-2025-223/leczenie-hipolipemizujace-u-pacjenta-po-zawale-serca-lub-po-planowej-implantacji-stentu-738" TargetMode="External"/><Relationship Id="rId14" Type="http://schemas.openxmlformats.org/officeDocument/2006/relationships/hyperlink" Target="https://remedium.md/wideo/pierwsze-kroki-w-poz-kardiologia-jesien-2025-223/sesja-3-panel-dyskusyjny-737" TargetMode="External"/><Relationship Id="rId17" Type="http://schemas.openxmlformats.org/officeDocument/2006/relationships/hyperlink" Target="https://remedium.md/wideo/pierwsze-kroki-w-poz-kardiologia-jesien-2025-223/leki-przeciwzakrzepowe-i-przeciwdlawicowe-w-chorobie-wiencowej-co-gdzie-kiedy-i-jak-740" TargetMode="External"/><Relationship Id="rId16" Type="http://schemas.openxmlformats.org/officeDocument/2006/relationships/hyperlink" Target="https://remedium.md/wideo/pierwsze-kroki-w-poz-kardiologia-jesien-2025-223/jak-leczyc-przeciwzakrzepowo-chorego-po-plastyce-tetnicy-planowej-lub-po-zawale-739" TargetMode="External"/><Relationship Id="rId19" Type="http://schemas.openxmlformats.org/officeDocument/2006/relationships/hyperlink" Target="https://remedium.md/wideo/konferencja-pierwsze-kroki-w-poz-kardiologia-i-diabetologia-10/nieprawidlowa-glikemia-na-czczo-prof-beata-mrozikiewicz-rakowska-7" TargetMode="External"/><Relationship Id="rId18" Type="http://schemas.openxmlformats.org/officeDocument/2006/relationships/hyperlink" Target="https://remedium.md/wideo/pierwsze-kroki-w-poz-gastroenterologia-jesien-2025-221/sesja-4-panel-dyskusyjny-720" TargetMode="External"/><Relationship Id="rId1" Type="http://schemas.openxmlformats.org/officeDocument/2006/relationships/hyperlink" Target="https://posthog.remedium.md/project/1/notebooks/dhJmRrbY" TargetMode="External"/><Relationship Id="rId2" Type="http://schemas.openxmlformats.org/officeDocument/2006/relationships/hyperlink" Target="https://www.notion.so/brandmed/PKwPOZ-kardiologia-promocja-VOD-1cb02785b05c805e90e8ff9380a25e75" TargetMode="External"/><Relationship Id="rId3" Type="http://schemas.openxmlformats.org/officeDocument/2006/relationships/hyperlink" Target="https://remedium.md/wideo/pierwsze-kroki-w-poz-kardiologia-jesien-2025-223/jak-pomoc-pacjentowi-z-migotaniem-przedsionkow-kiedy-kierowac-do-kardiologa-726" TargetMode="External"/><Relationship Id="rId4" Type="http://schemas.openxmlformats.org/officeDocument/2006/relationships/hyperlink" Target="https://remedium.md/wideo/pierwsze-kroki-w-poz-kardiologia-jesien-2025-223/nie-takie-ekg-straszne-jak-je-rysuja-co-zrobic-gdy-linie-nie-sa-proste-o-arytmiach-i-zmianach-st-t-727" TargetMode="External"/><Relationship Id="rId9" Type="http://schemas.openxmlformats.org/officeDocument/2006/relationships/hyperlink" Target="https://remedium.md/wideo/pierwsze-kroki-w-poz-kardiologia-jesien-2025-223/znamy-ale-czy-dzialamy-czyli-jak-efektywnie-w-gabinecie-poz-wdrazac-optymalizacje-terapii-pacjenta-z-hf-732" TargetMode="External"/><Relationship Id="rId5" Type="http://schemas.openxmlformats.org/officeDocument/2006/relationships/hyperlink" Target="https://remedium.md/wideo/pierwsze-kroki-w-poz-kardiologia-jesien-2025-223/kontinuum-sercowo-naczyniowe-pacjent-kardiologiczny-i-metaboliczny-w-swietle-wytycznych-ptnt-ptk-2024-728" TargetMode="External"/><Relationship Id="rId6" Type="http://schemas.openxmlformats.org/officeDocument/2006/relationships/hyperlink" Target="https://remedium.md/wideo/pierwsze-kroki-w-poz-kardiologia-jesien-2025-223/sesja-1-panel-dyskusyjny-729" TargetMode="External"/><Relationship Id="rId7" Type="http://schemas.openxmlformats.org/officeDocument/2006/relationships/hyperlink" Target="https://remedium.md/wideo/pierwsze-kroki-w-poz-kardiologia-jesien-2025-223/niewydolnosc-serca-kiedy-skierowac-do-szpitala-a-kiedy-ambulatoryjnie-do-kardiologa-730" TargetMode="External"/><Relationship Id="rId8" Type="http://schemas.openxmlformats.org/officeDocument/2006/relationships/hyperlink" Target="https://remedium.md/wideo/pierwsze-kroki-w-poz-kardiologia-jesien-2025-223/kompendium-wiedzy-o-urzadzeniach-wszczepianych-stymulator-icd-dla-lekarza-poz-731" TargetMode="External"/><Relationship Id="rId51" Type="http://schemas.openxmlformats.org/officeDocument/2006/relationships/hyperlink" Target="https://remedium.md/wideo/konferencja-pierwsze-kroki-w-poz-kardiologia-i-diabetologia-ii-edycja-108/panel-dyskusyjny-czesc-vii-168" TargetMode="External"/><Relationship Id="rId50" Type="http://schemas.openxmlformats.org/officeDocument/2006/relationships/hyperlink" Target="https://remedium.md/edukacja/vod/konferencja-pierwsze-kroki-w-poz-kardiologia-i-diabetologia-ii-edycja-108/pacjent-z-przewleklym-zespolem-wiencowym-po-plastyce-wiencowej-z-za-malym-naczyniem-do-stentowania-u-ktorego-trzeba-wlaczyc-leczenie-przeciwdlawicowe-167" TargetMode="External"/><Relationship Id="rId53" Type="http://schemas.openxmlformats.org/officeDocument/2006/relationships/drawing" Target="../drawings/drawing7.xml"/><Relationship Id="rId52" Type="http://schemas.openxmlformats.org/officeDocument/2006/relationships/hyperlink" Target="https://remedium.md/edukacja/vod/konferencja-pierwsze-kroki-w-poz-kardiologia-i-diabetologia-ii-edycja-108/wszystko-wszedzie-naraz-jak-wplywa-na-nasze-serce-169" TargetMode="External"/></Relationships>
</file>

<file path=xl/worksheets/_rels/sheet8.xml.rels><?xml version="1.0" encoding="UTF-8" standalone="yes"?><Relationships xmlns="http://schemas.openxmlformats.org/package/2006/relationships"><Relationship Id="rId31" Type="http://schemas.openxmlformats.org/officeDocument/2006/relationships/drawing" Target="../drawings/drawing8.xml"/><Relationship Id="rId30" Type="http://schemas.openxmlformats.org/officeDocument/2006/relationships/hyperlink" Target="https://remedium.md/wideo/konferencja-pierwsze-kroki-w-poz-dermatologia-i-reumatologia-93/panel-dyskusyjny-cz-4-122" TargetMode="External"/><Relationship Id="rId20" Type="http://schemas.openxmlformats.org/officeDocument/2006/relationships/hyperlink" Target="https://remedium.md/wideo/konferencja-pierwsze-kroki-w-poz-dermatologia-i-reumatologia-93/azs-jak-skutecznie-leczyc-miejscowo-i-ogolnie-112" TargetMode="External"/><Relationship Id="rId22" Type="http://schemas.openxmlformats.org/officeDocument/2006/relationships/hyperlink" Target="https://remedium.md/wideo/konferencja-pierwsze-kroki-w-poz-dermatologia-i-reumatologia-93/rozpoznanie-i-diagnostyka-pokrzywki-ostrej-i-przewleklej-oraz-aktualne-zalecenia-terapeutyczne-w-swietle-aktualnych-wytycznych-113" TargetMode="External"/><Relationship Id="rId21" Type="http://schemas.openxmlformats.org/officeDocument/2006/relationships/hyperlink" Target="https://remedium.md/wideo/konferencja-pierwsze-kroki-w-poz-dermatologia-i-reumatologia-93/panel-dyskusyjny-cz-1-119" TargetMode="External"/><Relationship Id="rId24" Type="http://schemas.openxmlformats.org/officeDocument/2006/relationships/hyperlink" Target="https://remedium.md/wideo/konferencja-pierwsze-kroki-w-poz-dermatologia-i-reumatologia-93/tradzik-zwykly-fakty-i-mity-na-temat-leczenia-najczestszej-dermatozy-115" TargetMode="External"/><Relationship Id="rId23" Type="http://schemas.openxmlformats.org/officeDocument/2006/relationships/hyperlink" Target="https://remedium.md/wideo/konferencja-pierwsze-kroki-w-poz-dermatologia-i-reumatologia-93/grzybice-skory-i-paznokci-wciaz-aktualny-problem-114" TargetMode="External"/><Relationship Id="rId26" Type="http://schemas.openxmlformats.org/officeDocument/2006/relationships/hyperlink" Target="https://remedium.md/wideo/konferencja-pierwsze-kroki-w-poz-dermatologia-i-reumatologia-93/luszczyca-jako-choroba-ogolnoustrojowa-nowoczesne-leczenie-luszczycy-plackowatej-co-lekarz-poz-powinien-wiedziec-o-lekach-miejscowych-i-leczeniu-biologicznym-116" TargetMode="External"/><Relationship Id="rId25" Type="http://schemas.openxmlformats.org/officeDocument/2006/relationships/hyperlink" Target="https://remedium.md/wideo/konferencja-pierwsze-kroki-w-poz-dermatologia-i-reumatologia-93/panel-dyskusyjny-cz-2-120" TargetMode="External"/><Relationship Id="rId28" Type="http://schemas.openxmlformats.org/officeDocument/2006/relationships/hyperlink" Target="https://remedium.md/wideo/konferencja-pierwsze-kroki-w-poz-dermatologia-i-reumatologia-93/ktore-objawy-z-ukladu-ruchu-wymagaja-szybkiego-skierowania-do-reumatologa-117" TargetMode="External"/><Relationship Id="rId27" Type="http://schemas.openxmlformats.org/officeDocument/2006/relationships/hyperlink" Target="https://remedium.md/wideo/konferencja-pierwsze-kroki-w-poz-dermatologia-i-reumatologia-93/panel-dyskusyjny-cz-3-121" TargetMode="External"/><Relationship Id="rId29" Type="http://schemas.openxmlformats.org/officeDocument/2006/relationships/hyperlink" Target="https://remedium.md/wideo/konferencja-pierwsze-kroki-w-poz-dermatologia-i-reumatologia-93/leczenie-reumatoidalnego-i-luszczycowego-zapalenia-stawow-kiedy-czym-i-jak-dlugo-118" TargetMode="External"/><Relationship Id="rId11" Type="http://schemas.openxmlformats.org/officeDocument/2006/relationships/hyperlink" Target="https://remedium.md/wideo/pierwsze-kroki-w-poz-alergologia-pulmonologia-dermatologia-jesien-2025-225/zapalenie-zatok-przynosowych-diagnostyka-i-leczenie-w-pigulce-758" TargetMode="External"/><Relationship Id="rId10" Type="http://schemas.openxmlformats.org/officeDocument/2006/relationships/hyperlink" Target="https://remedium.md/wideo/pierwsze-kroki-w-poz-alergologia-pulmonologia-dermatologia-jesien-2025-225/sesja-2-panel-dyskusyjny-759" TargetMode="External"/><Relationship Id="rId13" Type="http://schemas.openxmlformats.org/officeDocument/2006/relationships/hyperlink" Target="https://remedium.md/wideo/pierwsze-kroki-w-poz-alergologia-pulmonologia-dermatologia-jesien-2025-225/jak-dobrac-optymalny-inhalator-753" TargetMode="External"/><Relationship Id="rId12" Type="http://schemas.openxmlformats.org/officeDocument/2006/relationships/hyperlink" Target="https://remedium.md/wideo/pierwsze-kroki-w-poz-alergologia-pulmonologia-dermatologia-jesien-2025-225/astma-niekontrolowana-u-dziecka-jak-intensyfikowac-leczenie-i-kiedy-do-specjalisty-752" TargetMode="External"/><Relationship Id="rId15" Type="http://schemas.openxmlformats.org/officeDocument/2006/relationships/hyperlink" Target="https://remedium.md/wideo/pierwsze-kroki-w-poz-alergologia-pulmonologia-dermatologia-jesien-2025-225/grzybice-skory-i-paznokci-wciaz-aktualny-problem-755" TargetMode="External"/><Relationship Id="rId14" Type="http://schemas.openxmlformats.org/officeDocument/2006/relationships/hyperlink" Target="https://remedium.md/wideo/pierwsze-kroki-w-poz-alergologia-pulmonologia-dermatologia-jesien-2025-225/sesja-3-panel-dyskusyjny-760" TargetMode="External"/><Relationship Id="rId17" Type="http://schemas.openxmlformats.org/officeDocument/2006/relationships/hyperlink" Target="https://remedium.md/wideo/pierwsze-kroki-w-poz-alergologia-pulmonologia-dermatologia-jesien-2025-225/azs-jak-przygotowac-pacjenta-do-leczenia-w-programie-lekowym-krok-po-kroku-757" TargetMode="External"/><Relationship Id="rId16" Type="http://schemas.openxmlformats.org/officeDocument/2006/relationships/hyperlink" Target="https://remedium.md/wideo/pierwsze-kroki-w-poz-alergologia-pulmonologia-dermatologia-jesien-2025-225/najczestsze-zakazenia-skory-i-tkanki-podskornej-756" TargetMode="External"/><Relationship Id="rId19" Type="http://schemas.openxmlformats.org/officeDocument/2006/relationships/hyperlink" Target="https://remedium.md/wideo/konferencja-pierwsze-kroki-w-poz-dermatologia-i-reumatologia-93/pulapki-diagnostyczne-jak-wlasciwie-rozpoznac-azs-u-dzieci-i-doroslych-111" TargetMode="External"/><Relationship Id="rId18" Type="http://schemas.openxmlformats.org/officeDocument/2006/relationships/hyperlink" Target="https://remedium.md/wideo/pierwsze-kroki-w-poz-alergologia-pulmonologia-dermatologia-jesien-2025-225/sesja-4-panel-dyskusyjny-762" TargetMode="External"/><Relationship Id="rId1" Type="http://schemas.openxmlformats.org/officeDocument/2006/relationships/hyperlink" Target="https://posthog.remedium.md/project/1/notebooks/rcZdrPjF" TargetMode="External"/><Relationship Id="rId2" Type="http://schemas.openxmlformats.org/officeDocument/2006/relationships/hyperlink" Target="https://www.notion.so/brandmed/PKwPOZ-dermatologia-i-alergologia-promocja-VOD-1cb02785b05c80adb90ac5b3b49e047d" TargetMode="External"/><Relationship Id="rId3" Type="http://schemas.openxmlformats.org/officeDocument/2006/relationships/hyperlink" Target="https://remedium.md/wideo/pierwsze-kroki-w-poz-alergologia-pulmonologia-dermatologia-jesien-2025-225/jak-nie-diagnozowac-i-nie-leczyc-alergii-pokarmowej-u-dzieci-743" TargetMode="External"/><Relationship Id="rId4" Type="http://schemas.openxmlformats.org/officeDocument/2006/relationships/hyperlink" Target="https://remedium.md/wideo/pierwsze-kroki-w-poz-alergologia-pulmonologia-dermatologia-jesien-2025-225/kiedy-w-po-ch-p-zlecac-wziewne-glikokortykosteroidy-744" TargetMode="External"/><Relationship Id="rId9" Type="http://schemas.openxmlformats.org/officeDocument/2006/relationships/hyperlink" Target="https://remedium.md/wideo/pierwsze-kroki-w-poz-alergologia-pulmonologia-dermatologia-jesien-2025-225/luszczyca-jak-przygotowac-pacjenta-do-leczenia-w-programie-lekowym-krok-po-kroku-750" TargetMode="External"/><Relationship Id="rId5" Type="http://schemas.openxmlformats.org/officeDocument/2006/relationships/hyperlink" Target="https://remedium.md/wideo/pierwsze-kroki-w-poz-alergologia-pulmonologia-dermatologia-jesien-2025-225/szczepienie-na-krztusiec-w-dziecinstwie-jak-zbudowac-fundament-silnej-odpornosci-na-przyszlosc-746" TargetMode="External"/><Relationship Id="rId6" Type="http://schemas.openxmlformats.org/officeDocument/2006/relationships/hyperlink" Target="https://remedium.md/wideo/pierwsze-kroki-w-poz-alergologia-pulmonologia-dermatologia-jesien-2025-225/sesja-1-panel-dyskusyjny-747" TargetMode="External"/><Relationship Id="rId7" Type="http://schemas.openxmlformats.org/officeDocument/2006/relationships/hyperlink" Target="https://remedium.md/wideo/pierwsze-kroki-w-poz-alergologia-pulmonologia-dermatologia-jesien-2025-225/najczestsze-zmiany-skorne-wieku-podeszlego-748" TargetMode="External"/><Relationship Id="rId8" Type="http://schemas.openxmlformats.org/officeDocument/2006/relationships/hyperlink" Target="https://remedium.md/wideo/pierwsze-kroki-w-poz-alergologia-pulmonologia-dermatologia-jesien-2025-225/stany-nagle-w-dermatologii-749" TargetMode="External"/></Relationships>
</file>

<file path=xl/worksheets/_rels/sheet9.xml.rels><?xml version="1.0" encoding="UTF-8" standalone="yes"?><Relationships xmlns="http://schemas.openxmlformats.org/package/2006/relationships"><Relationship Id="rId11" Type="http://schemas.openxmlformats.org/officeDocument/2006/relationships/hyperlink" Target="https://remedium.md/wideo/pierwsze-kroki-w-poz-alergologia-pulmonologia-dermatologia-jesien-2025-225/zapalenie-zatok-przynosowych-diagnostyka-i-leczenie-w-pigulce-758" TargetMode="External"/><Relationship Id="rId10" Type="http://schemas.openxmlformats.org/officeDocument/2006/relationships/hyperlink" Target="https://remedium.md/wideo/pierwsze-kroki-w-poz-alergologia-pulmonologia-dermatologia-jesien-2025-225/sesja-2-panel-dyskusyjny-759" TargetMode="External"/><Relationship Id="rId13" Type="http://schemas.openxmlformats.org/officeDocument/2006/relationships/hyperlink" Target="https://remedium.md/wideo/pierwsze-kroki-w-poz-alergologia-pulmonologia-dermatologia-jesien-2025-225/jak-dobrac-optymalny-inhalator-753" TargetMode="External"/><Relationship Id="rId12" Type="http://schemas.openxmlformats.org/officeDocument/2006/relationships/hyperlink" Target="https://remedium.md/wideo/pierwsze-kroki-w-poz-alergologia-pulmonologia-dermatologia-jesien-2025-225/astma-niekontrolowana-u-dziecka-jak-intensyfikowac-leczenie-i-kiedy-do-specjalisty-752" TargetMode="External"/><Relationship Id="rId15" Type="http://schemas.openxmlformats.org/officeDocument/2006/relationships/hyperlink" Target="https://remedium.md/wideo/pierwsze-kroki-w-poz-alergologia-pulmonologia-dermatologia-jesien-2025-225/grzybice-skory-i-paznokci-wciaz-aktualny-problem-755" TargetMode="External"/><Relationship Id="rId14" Type="http://schemas.openxmlformats.org/officeDocument/2006/relationships/hyperlink" Target="https://remedium.md/wideo/pierwsze-kroki-w-poz-alergologia-pulmonologia-dermatologia-jesien-2025-225/sesja-3-panel-dyskusyjny-760" TargetMode="External"/><Relationship Id="rId17" Type="http://schemas.openxmlformats.org/officeDocument/2006/relationships/hyperlink" Target="https://remedium.md/wideo/pierwsze-kroki-w-poz-alergologia-pulmonologia-dermatologia-jesien-2025-225/azs-jak-przygotowac-pacjenta-do-leczenia-w-programie-lekowym-krok-po-kroku-757" TargetMode="External"/><Relationship Id="rId16" Type="http://schemas.openxmlformats.org/officeDocument/2006/relationships/hyperlink" Target="https://remedium.md/wideo/pierwsze-kroki-w-poz-alergologia-pulmonologia-dermatologia-jesien-2025-225/najczestsze-zakazenia-skory-i-tkanki-podskornej-756" TargetMode="External"/><Relationship Id="rId19" Type="http://schemas.openxmlformats.org/officeDocument/2006/relationships/drawing" Target="../drawings/drawing9.xml"/><Relationship Id="rId18" Type="http://schemas.openxmlformats.org/officeDocument/2006/relationships/hyperlink" Target="https://remedium.md/wideo/pierwsze-kroki-w-poz-alergologia-pulmonologia-dermatologia-jesien-2025-225/sesja-4-panel-dyskusyjny-762" TargetMode="External"/><Relationship Id="rId1" Type="http://schemas.openxmlformats.org/officeDocument/2006/relationships/hyperlink" Target="https://posthog.remedium.md/project/1/notebooks/rcZdrPjF" TargetMode="External"/><Relationship Id="rId2" Type="http://schemas.openxmlformats.org/officeDocument/2006/relationships/hyperlink" Target="https://www.notion.so/brandmed/PKwPOZ-dermatologia-i-alergologia-promocja-VOD-1cb02785b05c80adb90ac5b3b49e047d" TargetMode="External"/><Relationship Id="rId3" Type="http://schemas.openxmlformats.org/officeDocument/2006/relationships/hyperlink" Target="https://remedium.md/wideo/pierwsze-kroki-w-poz-alergologia-pulmonologia-dermatologia-jesien-2025-225/jak-nie-diagnozowac-i-nie-leczyc-alergii-pokarmowej-u-dzieci-743" TargetMode="External"/><Relationship Id="rId4" Type="http://schemas.openxmlformats.org/officeDocument/2006/relationships/hyperlink" Target="https://remedium.md/wideo/pierwsze-kroki-w-poz-alergologia-pulmonologia-dermatologia-jesien-2025-225/kiedy-w-po-ch-p-zlecac-wziewne-glikokortykosteroidy-744" TargetMode="External"/><Relationship Id="rId9" Type="http://schemas.openxmlformats.org/officeDocument/2006/relationships/hyperlink" Target="https://remedium.md/wideo/pierwsze-kroki-w-poz-alergologia-pulmonologia-dermatologia-jesien-2025-225/luszczyca-jak-przygotowac-pacjenta-do-leczenia-w-programie-lekowym-krok-po-kroku-750" TargetMode="External"/><Relationship Id="rId5" Type="http://schemas.openxmlformats.org/officeDocument/2006/relationships/hyperlink" Target="https://remedium.md/wideo/pierwsze-kroki-w-poz-alergologia-pulmonologia-dermatologia-jesien-2025-225/szczepienie-na-krztusiec-w-dziecinstwie-jak-zbudowac-fundament-silnej-odpornosci-na-przyszlosc-746" TargetMode="External"/><Relationship Id="rId6" Type="http://schemas.openxmlformats.org/officeDocument/2006/relationships/hyperlink" Target="https://remedium.md/wideo/pierwsze-kroki-w-poz-alergologia-pulmonologia-dermatologia-jesien-2025-225/sesja-1-panel-dyskusyjny-747" TargetMode="External"/><Relationship Id="rId7" Type="http://schemas.openxmlformats.org/officeDocument/2006/relationships/hyperlink" Target="https://remedium.md/wideo/pierwsze-kroki-w-poz-alergologia-pulmonologia-dermatologia-jesien-2025-225/najczestsze-zmiany-skorne-wieku-podeszlego-748" TargetMode="External"/><Relationship Id="rId8" Type="http://schemas.openxmlformats.org/officeDocument/2006/relationships/hyperlink" Target="https://remedium.md/wideo/pierwsze-kroki-w-poz-alergologia-pulmonologia-dermatologia-jesien-2025-225/stany-nagle-w-dermatologii-749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1" Type="http://schemas.openxmlformats.org/officeDocument/2006/relationships/hyperlink" Target="https://remedium.md/wideo/konferencja-specjalista-w-praktyce-pediatria-2025-jesien-2025-226/boli-mnie-brzuch-czyli-wszystko-o-zaburzeniach-interakcji-jelito-mozg-i-chaosie-diet-eliminacyjnych-774" TargetMode="External"/><Relationship Id="rId10" Type="http://schemas.openxmlformats.org/officeDocument/2006/relationships/hyperlink" Target="https://remedium.md/wideo/konferencja-specjalista-w-praktyce-pediatria-2025-jesien-2025-226/najczestsze-bledy-pediatrow-w-rozpoznawaniu-schorzen-gastrologicznych-773" TargetMode="External"/><Relationship Id="rId13" Type="http://schemas.openxmlformats.org/officeDocument/2006/relationships/hyperlink" Target="https://remedium.md/wideo/konferencja-specjalista-w-praktyce-pediatria-2025-jesien-2025-226/sor-czym-jest-i-jakich-pacjentow-tam-kierowac-776" TargetMode="External"/><Relationship Id="rId12" Type="http://schemas.openxmlformats.org/officeDocument/2006/relationships/hyperlink" Target="https://remedium.md/wideo/konferencja-specjalista-w-praktyce-pediatria-2025-jesien-2025-226/sesja-3-panel-dyskusyjny-775" TargetMode="External"/><Relationship Id="rId15" Type="http://schemas.openxmlformats.org/officeDocument/2006/relationships/hyperlink" Target="https://remedium.md/wideo/konferencja-specjalista-w-praktyce-pediatria-2025-jesien-2025-226/sepsa-w-3-krokach-780" TargetMode="External"/><Relationship Id="rId14" Type="http://schemas.openxmlformats.org/officeDocument/2006/relationships/hyperlink" Target="https://remedium.md/wideo/konferencja-specjalista-w-praktyce-pediatria-2025-jesien-2025-226/stany-ostre-w-pediatrii-czyli-na-co-zwrocic-szczegolna-uwage-777" TargetMode="External"/><Relationship Id="rId17" Type="http://schemas.openxmlformats.org/officeDocument/2006/relationships/drawing" Target="../drawings/drawing11.xml"/><Relationship Id="rId16" Type="http://schemas.openxmlformats.org/officeDocument/2006/relationships/hyperlink" Target="https://remedium.md/wideo/konferencja-specjalista-w-praktyce-pediatria-2025-jesien-2025-226/sesja-4-panel-dyskusyjny-779" TargetMode="External"/><Relationship Id="rId1" Type="http://schemas.openxmlformats.org/officeDocument/2006/relationships/hyperlink" Target="https://remedium.md/wideo/konferencja-specjalista-w-praktyce-pediatria-2025-jesien-2025-226/pediatria-jakiej-nie-znacie-czyli-co-sie-zmienilo-na-przestrzeni-lat-w-pediatrii-764" TargetMode="External"/><Relationship Id="rId2" Type="http://schemas.openxmlformats.org/officeDocument/2006/relationships/hyperlink" Target="https://remedium.md/wideo/konferencja-specjalista-w-praktyce-pediatria-2025-jesien-2025-226/ai-w-medycynie-realna-pomoc-czy-zagrozenie-765" TargetMode="External"/><Relationship Id="rId3" Type="http://schemas.openxmlformats.org/officeDocument/2006/relationships/hyperlink" Target="https://remedium.md/wideo/konferencja-specjalista-w-praktyce-pediatria-2025-jesien-2025-226/pediatrzy-w-dobie-wielolekoopornosci-odlegla-przyszlosc-czy-terazniejszosc-766" TargetMode="External"/><Relationship Id="rId4" Type="http://schemas.openxmlformats.org/officeDocument/2006/relationships/hyperlink" Target="https://remedium.md/wideo/konferencja-specjalista-w-praktyce-pediatria-2025-jesien-2025-226/sesja-1-panel-dyskusyjny-767" TargetMode="External"/><Relationship Id="rId9" Type="http://schemas.openxmlformats.org/officeDocument/2006/relationships/hyperlink" Target="https://remedium.md/wideo/konferencja-specjalista-w-praktyce-pediatria-2025-jesien-2025-226/probiotyki-w-trzech-slowach-772" TargetMode="External"/><Relationship Id="rId5" Type="http://schemas.openxmlformats.org/officeDocument/2006/relationships/hyperlink" Target="https://remedium.md/wideo/konferencja-specjalista-w-praktyce-pediatria-2025-jesien-2025-226/miejsce-szczepien-w-pediatrii-768" TargetMode="External"/><Relationship Id="rId6" Type="http://schemas.openxmlformats.org/officeDocument/2006/relationships/hyperlink" Target="https://remedium.md/wideo/konferencja-specjalista-w-praktyce-pediatria-2025-jesien-2025-226/metody-nieswoiste-zapobiegania-infekcjom-drog-oddechowych-769" TargetMode="External"/><Relationship Id="rId7" Type="http://schemas.openxmlformats.org/officeDocument/2006/relationships/hyperlink" Target="https://remedium.md/wideo/konferencja-specjalista-w-praktyce-pediatria-2025-jesien-2025-226/jak-sie-dogadac-kompetencje-spoleczne-w-pracy-pediatrow-770" TargetMode="External"/><Relationship Id="rId8" Type="http://schemas.openxmlformats.org/officeDocument/2006/relationships/hyperlink" Target="https://remedium.md/wideo/konferencja-specjalista-w-praktyce-pediatria-2025-jesien-2025-226/sesja-2-panel-dyskusyjny-7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2.5"/>
    <col customWidth="1" min="3" max="3" width="29.75"/>
    <col customWidth="1" min="4" max="4" width="30.13"/>
    <col customWidth="1" min="5" max="5" width="31.5"/>
    <col customWidth="1" min="6" max="6" width="19.5"/>
    <col customWidth="1" min="8" max="8" width="22.13"/>
    <col customWidth="1" min="9" max="9" width="27.88"/>
    <col customWidth="1" min="10" max="10" width="26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3">
      <c r="B3" s="4" t="s">
        <v>1</v>
      </c>
      <c r="C3" s="5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J3" s="7"/>
    </row>
    <row r="4">
      <c r="B4" s="8" t="s">
        <v>8</v>
      </c>
      <c r="C4" s="9">
        <v>45536.0</v>
      </c>
      <c r="D4" s="10">
        <v>45566.0</v>
      </c>
      <c r="E4" s="10">
        <v>45566.0</v>
      </c>
      <c r="F4" s="10">
        <v>45597.0</v>
      </c>
      <c r="G4" s="10">
        <v>45449.0</v>
      </c>
      <c r="H4" s="9">
        <v>45717.0</v>
      </c>
    </row>
    <row r="5">
      <c r="B5" s="8" t="s">
        <v>9</v>
      </c>
      <c r="C5" s="8">
        <v>2607.0</v>
      </c>
      <c r="D5" s="8">
        <v>2747.0</v>
      </c>
      <c r="E5" s="8">
        <v>2865.0</v>
      </c>
      <c r="F5" s="8">
        <v>3750.0</v>
      </c>
      <c r="G5" s="8">
        <v>3685.0</v>
      </c>
      <c r="H5" s="11">
        <v>2089.0</v>
      </c>
    </row>
    <row r="6">
      <c r="B6" s="12" t="s">
        <v>10</v>
      </c>
      <c r="C6" s="7">
        <v>1240.0</v>
      </c>
      <c r="D6" s="7">
        <v>742.0</v>
      </c>
      <c r="E6" s="7">
        <v>742.0</v>
      </c>
      <c r="F6" s="7">
        <v>726.0</v>
      </c>
      <c r="G6" s="7">
        <v>663.0</v>
      </c>
      <c r="H6" s="11">
        <v>940.0</v>
      </c>
    </row>
    <row r="7">
      <c r="B7" s="8" t="s">
        <v>11</v>
      </c>
      <c r="C7" s="13">
        <f t="shared" ref="C7:H7" si="1">C6/C5</f>
        <v>0.475642501</v>
      </c>
      <c r="D7" s="13">
        <f t="shared" si="1"/>
        <v>0.2701128504</v>
      </c>
      <c r="E7" s="13">
        <f t="shared" si="1"/>
        <v>0.2589877836</v>
      </c>
      <c r="F7" s="13">
        <f t="shared" si="1"/>
        <v>0.1936</v>
      </c>
      <c r="G7" s="13">
        <f t="shared" si="1"/>
        <v>0.1799185889</v>
      </c>
      <c r="H7" s="14">
        <f t="shared" si="1"/>
        <v>0.4499760651</v>
      </c>
    </row>
    <row r="8">
      <c r="B8" s="12" t="s">
        <v>12</v>
      </c>
      <c r="C8" s="7">
        <v>2703.0</v>
      </c>
      <c r="D8" s="7">
        <v>1789.0</v>
      </c>
      <c r="E8" s="7">
        <v>1499.0</v>
      </c>
      <c r="F8" s="7">
        <v>1639.0</v>
      </c>
      <c r="G8" s="7">
        <v>1634.0</v>
      </c>
      <c r="H8" s="11">
        <v>1339.0</v>
      </c>
    </row>
    <row r="9">
      <c r="B9" s="15" t="s">
        <v>13</v>
      </c>
      <c r="C9" s="8">
        <v>3551.0</v>
      </c>
      <c r="D9" s="8">
        <v>2139.0</v>
      </c>
      <c r="E9" s="8">
        <v>2091.0</v>
      </c>
      <c r="F9" s="8">
        <v>2193.0</v>
      </c>
      <c r="G9" s="8">
        <v>2133.0</v>
      </c>
      <c r="H9" s="11">
        <v>2017.0</v>
      </c>
    </row>
    <row r="10">
      <c r="B10" s="8" t="s">
        <v>14</v>
      </c>
      <c r="C10" s="8">
        <v>517.0</v>
      </c>
      <c r="D10" s="8">
        <v>445.0</v>
      </c>
      <c r="E10" s="8">
        <v>388.0</v>
      </c>
      <c r="F10" s="8">
        <v>444.0</v>
      </c>
      <c r="G10" s="8">
        <v>442.0</v>
      </c>
      <c r="H10" s="8">
        <v>298.0</v>
      </c>
    </row>
    <row r="11">
      <c r="B11" s="8"/>
      <c r="C11" s="13">
        <f t="shared" ref="C11:H11" si="2">C10/C5</f>
        <v>0.1983122363</v>
      </c>
      <c r="D11" s="13">
        <f t="shared" si="2"/>
        <v>0.1619949035</v>
      </c>
      <c r="E11" s="13">
        <f t="shared" si="2"/>
        <v>0.1354275742</v>
      </c>
      <c r="F11" s="13">
        <f t="shared" si="2"/>
        <v>0.1184</v>
      </c>
      <c r="G11" s="13">
        <f t="shared" si="2"/>
        <v>0.1199457259</v>
      </c>
      <c r="H11" s="13">
        <f t="shared" si="2"/>
        <v>0.1426519866</v>
      </c>
    </row>
    <row r="12">
      <c r="B12" s="8" t="s">
        <v>15</v>
      </c>
      <c r="C12" s="8">
        <v>392.0</v>
      </c>
      <c r="D12" s="8">
        <v>214.0</v>
      </c>
      <c r="E12" s="8">
        <v>153.0</v>
      </c>
      <c r="F12" s="8">
        <v>172.0</v>
      </c>
      <c r="G12" s="8">
        <v>164.0</v>
      </c>
      <c r="H12" s="8">
        <v>261.0</v>
      </c>
    </row>
    <row r="13">
      <c r="C13" s="13">
        <f t="shared" ref="C13:F13" si="3">C12/C9</f>
        <v>0.110391439</v>
      </c>
      <c r="D13" s="13">
        <f t="shared" si="3"/>
        <v>0.1000467508</v>
      </c>
      <c r="E13" s="13">
        <f t="shared" si="3"/>
        <v>0.07317073171</v>
      </c>
      <c r="F13" s="13">
        <f t="shared" si="3"/>
        <v>0.07843137255</v>
      </c>
      <c r="G13" s="16">
        <f t="shared" ref="G13:H13" si="4">G12/G5</f>
        <v>0.04450474898</v>
      </c>
      <c r="H13" s="16">
        <f t="shared" si="4"/>
        <v>0.1249401628</v>
      </c>
    </row>
    <row r="14">
      <c r="A14" s="17"/>
      <c r="B14" s="7" t="s">
        <v>16</v>
      </c>
      <c r="C14" s="7">
        <v>850.0</v>
      </c>
      <c r="D14" s="7">
        <v>1561.0</v>
      </c>
      <c r="E14" s="7">
        <v>1735.0</v>
      </c>
      <c r="F14" s="7">
        <v>2580.0</v>
      </c>
      <c r="G14" s="7">
        <v>2580.0</v>
      </c>
      <c r="H14" s="17">
        <f>1150-298-1</f>
        <v>851</v>
      </c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</row>
    <row r="17">
      <c r="B17" s="8" t="s">
        <v>17</v>
      </c>
      <c r="C17" s="18">
        <v>45838.0</v>
      </c>
      <c r="D17" s="18">
        <v>45838.0</v>
      </c>
      <c r="E17" s="18">
        <v>45838.0</v>
      </c>
      <c r="F17" s="18">
        <v>45838.0</v>
      </c>
      <c r="G17" s="18">
        <v>45838.0</v>
      </c>
      <c r="H17" s="18">
        <v>45838.0</v>
      </c>
    </row>
    <row r="21">
      <c r="B21" s="19" t="s">
        <v>18</v>
      </c>
      <c r="C21" s="19" t="s">
        <v>19</v>
      </c>
      <c r="D21" s="19" t="s">
        <v>20</v>
      </c>
      <c r="E21" s="19" t="s">
        <v>21</v>
      </c>
    </row>
    <row r="22">
      <c r="B22" s="7" t="s">
        <v>2</v>
      </c>
      <c r="C22" s="8">
        <v>387.0</v>
      </c>
      <c r="D22" s="8">
        <v>196.0</v>
      </c>
      <c r="E22" s="13">
        <f t="shared" ref="E22:E27" si="5">D22/C22</f>
        <v>0.5064599483</v>
      </c>
    </row>
    <row r="23">
      <c r="B23" s="7" t="s">
        <v>3</v>
      </c>
      <c r="C23" s="8">
        <v>360.0</v>
      </c>
      <c r="D23" s="8">
        <v>166.0</v>
      </c>
      <c r="E23" s="13">
        <f t="shared" si="5"/>
        <v>0.4611111111</v>
      </c>
    </row>
    <row r="24">
      <c r="B24" s="7" t="s">
        <v>4</v>
      </c>
      <c r="C24" s="8">
        <v>350.0</v>
      </c>
      <c r="D24" s="8">
        <v>154.0</v>
      </c>
      <c r="E24" s="13">
        <f t="shared" si="5"/>
        <v>0.44</v>
      </c>
    </row>
    <row r="25">
      <c r="B25" s="7" t="s">
        <v>5</v>
      </c>
      <c r="C25" s="8">
        <v>373.0</v>
      </c>
      <c r="D25" s="8">
        <v>167.0</v>
      </c>
      <c r="E25" s="13">
        <f t="shared" si="5"/>
        <v>0.4477211796</v>
      </c>
    </row>
    <row r="26">
      <c r="B26" s="7" t="s">
        <v>6</v>
      </c>
      <c r="C26" s="8">
        <v>450.0</v>
      </c>
      <c r="D26" s="8">
        <v>152.0</v>
      </c>
      <c r="E26" s="13">
        <f t="shared" si="5"/>
        <v>0.3377777778</v>
      </c>
    </row>
    <row r="27">
      <c r="B27" s="7" t="s">
        <v>7</v>
      </c>
      <c r="C27" s="8">
        <v>378.0</v>
      </c>
      <c r="D27" s="8">
        <v>165.0</v>
      </c>
      <c r="E27" s="13">
        <f t="shared" si="5"/>
        <v>0.4365079365</v>
      </c>
    </row>
    <row r="28">
      <c r="B28" s="20" t="s">
        <v>22</v>
      </c>
      <c r="C28" s="21">
        <f t="shared" ref="C28:D28" si="6">AVERAGE(C24:C27)</f>
        <v>387.75</v>
      </c>
      <c r="D28" s="22">
        <f t="shared" si="6"/>
        <v>159.5</v>
      </c>
      <c r="E28" s="23">
        <f>D24/C28</f>
        <v>0.3971631206</v>
      </c>
    </row>
    <row r="29">
      <c r="K29" s="13"/>
    </row>
    <row r="30">
      <c r="K30" s="13"/>
    </row>
    <row r="31">
      <c r="K31" s="13"/>
    </row>
    <row r="32">
      <c r="K32" s="13"/>
    </row>
    <row r="33">
      <c r="K33" s="13"/>
    </row>
    <row r="34">
      <c r="B34" s="24" t="s">
        <v>1</v>
      </c>
      <c r="C34" s="25" t="s">
        <v>2</v>
      </c>
      <c r="D34" s="7" t="s">
        <v>3</v>
      </c>
      <c r="E34" s="7" t="s">
        <v>4</v>
      </c>
      <c r="F34" s="24" t="s">
        <v>5</v>
      </c>
      <c r="G34" s="24" t="s">
        <v>6</v>
      </c>
      <c r="H34" s="7"/>
      <c r="K34" s="13"/>
    </row>
    <row r="35">
      <c r="B35" s="26" t="s">
        <v>10</v>
      </c>
      <c r="C35" s="26">
        <v>1240.0</v>
      </c>
      <c r="D35" s="26">
        <v>743.0</v>
      </c>
      <c r="E35" s="26">
        <v>746.0</v>
      </c>
      <c r="F35" s="26">
        <v>726.0</v>
      </c>
      <c r="G35" s="26">
        <v>663.0</v>
      </c>
      <c r="K35" s="13"/>
    </row>
    <row r="36">
      <c r="B36" s="26" t="s">
        <v>12</v>
      </c>
      <c r="C36" s="26">
        <v>2703.0</v>
      </c>
      <c r="D36" s="26">
        <v>1789.0</v>
      </c>
      <c r="E36" s="26">
        <v>1499.0</v>
      </c>
      <c r="F36" s="26">
        <v>1639.0</v>
      </c>
      <c r="G36" s="26">
        <v>1634.0</v>
      </c>
      <c r="K36" s="13"/>
    </row>
    <row r="37">
      <c r="B37" s="26" t="s">
        <v>13</v>
      </c>
      <c r="C37" s="26">
        <v>3551.0</v>
      </c>
      <c r="D37" s="26">
        <v>2139.0</v>
      </c>
      <c r="E37" s="26">
        <v>2091.0</v>
      </c>
      <c r="F37" s="26">
        <v>2193.0</v>
      </c>
      <c r="G37" s="26">
        <v>2133.0</v>
      </c>
      <c r="K37" s="13"/>
    </row>
    <row r="38">
      <c r="K38" s="13"/>
    </row>
    <row r="39">
      <c r="K39" s="13"/>
    </row>
    <row r="40">
      <c r="K40" s="13"/>
    </row>
    <row r="41">
      <c r="K41" s="13"/>
    </row>
    <row r="42">
      <c r="K42" s="13"/>
    </row>
    <row r="43">
      <c r="K43" s="13"/>
    </row>
    <row r="44">
      <c r="A44" s="27" t="s">
        <v>23</v>
      </c>
      <c r="B44" s="2"/>
      <c r="C44" s="2"/>
      <c r="D44" s="2"/>
      <c r="E44" s="2"/>
      <c r="F44" s="2"/>
      <c r="G44" s="2"/>
      <c r="H44" s="2"/>
      <c r="I44" s="2"/>
      <c r="J44" s="2"/>
      <c r="K44" s="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K45" s="13"/>
    </row>
    <row r="46">
      <c r="B46" s="7" t="s">
        <v>24</v>
      </c>
      <c r="K46" s="13"/>
    </row>
    <row r="47">
      <c r="B47" s="28" t="s">
        <v>25</v>
      </c>
      <c r="C47" s="28" t="s">
        <v>26</v>
      </c>
      <c r="D47" s="28" t="s">
        <v>27</v>
      </c>
      <c r="K47" s="13"/>
    </row>
    <row r="48">
      <c r="B48" s="29" t="s">
        <v>28</v>
      </c>
      <c r="C48" s="8">
        <v>1257.0</v>
      </c>
      <c r="D48" s="8">
        <v>1420.0</v>
      </c>
      <c r="K48" s="13"/>
    </row>
    <row r="49">
      <c r="B49" s="29" t="s">
        <v>29</v>
      </c>
      <c r="C49" s="8">
        <v>761.0</v>
      </c>
      <c r="D49" s="8">
        <v>1275.0</v>
      </c>
      <c r="K49" s="13"/>
    </row>
    <row r="50">
      <c r="B50" s="29" t="s">
        <v>30</v>
      </c>
      <c r="C50" s="8">
        <v>619.0</v>
      </c>
      <c r="D50" s="8">
        <v>1019.0</v>
      </c>
      <c r="K50" s="13"/>
    </row>
    <row r="51">
      <c r="B51" s="29" t="s">
        <v>31</v>
      </c>
      <c r="C51" s="8">
        <v>639.0</v>
      </c>
      <c r="D51" s="8">
        <v>536.0</v>
      </c>
      <c r="K51" s="13"/>
    </row>
    <row r="52">
      <c r="B52" s="8" t="s">
        <v>32</v>
      </c>
      <c r="K52" s="13"/>
    </row>
    <row r="53">
      <c r="K53" s="13"/>
    </row>
    <row r="54">
      <c r="K54" s="13"/>
    </row>
    <row r="58">
      <c r="B58" s="28" t="s">
        <v>25</v>
      </c>
      <c r="C58" s="28" t="s">
        <v>26</v>
      </c>
      <c r="D58" s="28" t="s">
        <v>27</v>
      </c>
      <c r="E58" s="28" t="s">
        <v>33</v>
      </c>
    </row>
    <row r="59">
      <c r="B59" s="29" t="s">
        <v>34</v>
      </c>
      <c r="C59" s="8">
        <v>639.0</v>
      </c>
      <c r="D59" s="8">
        <v>536.0</v>
      </c>
    </row>
    <row r="60">
      <c r="B60" s="29" t="s">
        <v>35</v>
      </c>
      <c r="C60" s="8">
        <v>619.0</v>
      </c>
      <c r="D60" s="8">
        <v>1019.0</v>
      </c>
    </row>
    <row r="61">
      <c r="B61" s="29" t="s">
        <v>36</v>
      </c>
      <c r="C61" s="30">
        <f t="shared" ref="C61:D61" si="7">AVERAGE(C48:C49)</f>
        <v>1009</v>
      </c>
      <c r="D61" s="31">
        <f t="shared" si="7"/>
        <v>1347.5</v>
      </c>
      <c r="E61" s="8" t="s">
        <v>37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23.63"/>
    <col customWidth="1" min="2" max="2" width="57.5"/>
    <col customWidth="1" min="6" max="6" width="17.75"/>
    <col hidden="1" min="8" max="8" width="12.63"/>
    <col customWidth="1" min="12" max="12" width="18.13"/>
    <col hidden="1" min="16" max="22" width="12.63"/>
    <col customWidth="1" min="23" max="23" width="26.75"/>
  </cols>
  <sheetData>
    <row r="1">
      <c r="A1" s="32" t="s">
        <v>38</v>
      </c>
      <c r="B1" s="33" t="s">
        <v>39</v>
      </c>
      <c r="C1" s="34" t="s">
        <v>40</v>
      </c>
      <c r="D1" s="34" t="s">
        <v>41</v>
      </c>
      <c r="E1" s="34" t="s">
        <v>42</v>
      </c>
      <c r="F1" s="34" t="s">
        <v>43</v>
      </c>
      <c r="G1" s="33" t="s">
        <v>44</v>
      </c>
      <c r="H1" s="34" t="s">
        <v>45</v>
      </c>
      <c r="I1" s="34" t="s">
        <v>38</v>
      </c>
      <c r="J1" s="34" t="s">
        <v>46</v>
      </c>
      <c r="K1" s="34" t="s">
        <v>47</v>
      </c>
      <c r="L1" s="34" t="s">
        <v>48</v>
      </c>
      <c r="M1" s="35" t="s">
        <v>49</v>
      </c>
      <c r="N1" s="36" t="s">
        <v>50</v>
      </c>
      <c r="O1" s="36" t="s">
        <v>51</v>
      </c>
      <c r="P1" s="36" t="s">
        <v>52</v>
      </c>
      <c r="Q1" s="36" t="s">
        <v>53</v>
      </c>
      <c r="R1" s="34" t="s">
        <v>54</v>
      </c>
      <c r="S1" s="34" t="s">
        <v>55</v>
      </c>
      <c r="T1" s="34" t="s">
        <v>56</v>
      </c>
      <c r="U1" s="37" t="s">
        <v>57</v>
      </c>
      <c r="V1" s="37" t="s">
        <v>58</v>
      </c>
      <c r="W1" s="33" t="s">
        <v>59</v>
      </c>
      <c r="X1" s="34" t="s">
        <v>60</v>
      </c>
      <c r="Y1" s="34" t="s">
        <v>61</v>
      </c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</row>
    <row r="2" hidden="1">
      <c r="A2" s="39"/>
      <c r="B2" s="39" t="s">
        <v>62</v>
      </c>
      <c r="C2" s="40">
        <v>44818.0</v>
      </c>
      <c r="D2" s="41">
        <v>2022.0</v>
      </c>
      <c r="E2" s="41">
        <v>9.0</v>
      </c>
      <c r="F2" s="38" t="s">
        <v>63</v>
      </c>
      <c r="G2" s="38"/>
      <c r="H2" s="38"/>
      <c r="I2" s="38"/>
      <c r="J2" s="38"/>
      <c r="K2" s="38"/>
      <c r="L2" s="38" t="s">
        <v>64</v>
      </c>
      <c r="M2" s="38"/>
      <c r="N2" s="42">
        <v>328.0</v>
      </c>
      <c r="O2" s="38"/>
      <c r="P2" s="42">
        <v>400.0</v>
      </c>
      <c r="Q2" s="43">
        <f t="shared" ref="Q2:Q112" si="1">P2/N2</f>
        <v>1.219512195</v>
      </c>
      <c r="R2" s="38">
        <v>123.0</v>
      </c>
      <c r="S2" s="38">
        <v>37.0</v>
      </c>
      <c r="T2" s="44">
        <f t="shared" ref="T2:T108" si="2">S2/R2</f>
        <v>0.3008130081</v>
      </c>
      <c r="U2" s="44"/>
      <c r="V2" s="44"/>
      <c r="W2" s="45" t="s">
        <v>65</v>
      </c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</row>
    <row r="3" hidden="1">
      <c r="A3" s="38"/>
      <c r="B3" s="38" t="s">
        <v>66</v>
      </c>
      <c r="C3" s="46">
        <v>44873.0</v>
      </c>
      <c r="D3" s="41">
        <v>2022.0</v>
      </c>
      <c r="E3" s="41">
        <v>11.0</v>
      </c>
      <c r="F3" s="38" t="s">
        <v>63</v>
      </c>
      <c r="G3" s="38"/>
      <c r="H3" s="38"/>
      <c r="I3" s="38" t="s">
        <v>67</v>
      </c>
      <c r="J3" s="38"/>
      <c r="K3" s="38"/>
      <c r="L3" s="38" t="s">
        <v>64</v>
      </c>
      <c r="M3" s="38"/>
      <c r="N3" s="42">
        <v>381.0</v>
      </c>
      <c r="O3" s="38"/>
      <c r="P3" s="42">
        <v>240.0</v>
      </c>
      <c r="Q3" s="43">
        <f t="shared" si="1"/>
        <v>0.6299212598</v>
      </c>
      <c r="R3" s="38">
        <v>52.0</v>
      </c>
      <c r="S3" s="38">
        <v>42.0</v>
      </c>
      <c r="T3" s="44">
        <f t="shared" si="2"/>
        <v>0.8076923077</v>
      </c>
      <c r="U3" s="44"/>
      <c r="V3" s="44"/>
      <c r="W3" s="45" t="s">
        <v>68</v>
      </c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</row>
    <row r="4" hidden="1">
      <c r="A4" s="47"/>
      <c r="B4" s="47" t="s">
        <v>69</v>
      </c>
      <c r="C4" s="46">
        <v>44897.0</v>
      </c>
      <c r="D4" s="41">
        <v>2022.0</v>
      </c>
      <c r="E4" s="41">
        <v>12.0</v>
      </c>
      <c r="F4" s="38" t="s">
        <v>70</v>
      </c>
      <c r="G4" s="38"/>
      <c r="H4" s="38"/>
      <c r="I4" s="38" t="s">
        <v>71</v>
      </c>
      <c r="J4" s="38"/>
      <c r="K4" s="38"/>
      <c r="L4" s="38" t="s">
        <v>64</v>
      </c>
      <c r="M4" s="38"/>
      <c r="N4" s="42">
        <v>2252.0</v>
      </c>
      <c r="O4" s="38"/>
      <c r="P4" s="42">
        <v>1257.0</v>
      </c>
      <c r="Q4" s="43">
        <f t="shared" si="1"/>
        <v>0.5581705151</v>
      </c>
      <c r="R4" s="41">
        <v>242.0</v>
      </c>
      <c r="S4" s="41">
        <v>126.0</v>
      </c>
      <c r="T4" s="44">
        <f t="shared" si="2"/>
        <v>0.520661157</v>
      </c>
      <c r="U4" s="44"/>
      <c r="V4" s="44"/>
      <c r="W4" s="45" t="s">
        <v>72</v>
      </c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</row>
    <row r="5" hidden="1">
      <c r="A5" s="38"/>
      <c r="B5" s="38" t="s">
        <v>73</v>
      </c>
      <c r="C5" s="40">
        <v>45034.0</v>
      </c>
      <c r="D5" s="41">
        <v>2023.0</v>
      </c>
      <c r="E5" s="41">
        <v>4.0</v>
      </c>
      <c r="F5" s="38" t="s">
        <v>74</v>
      </c>
      <c r="G5" s="38"/>
      <c r="H5" s="38"/>
      <c r="I5" s="38"/>
      <c r="J5" s="38"/>
      <c r="K5" s="38"/>
      <c r="L5" s="38" t="s">
        <v>64</v>
      </c>
      <c r="M5" s="38"/>
      <c r="N5" s="42">
        <v>197.0</v>
      </c>
      <c r="O5" s="38"/>
      <c r="P5" s="42">
        <v>100.0</v>
      </c>
      <c r="Q5" s="43">
        <f t="shared" si="1"/>
        <v>0.5076142132</v>
      </c>
      <c r="R5" s="38">
        <v>109.0</v>
      </c>
      <c r="S5" s="38">
        <v>55.0</v>
      </c>
      <c r="T5" s="44">
        <f t="shared" si="2"/>
        <v>0.504587156</v>
      </c>
      <c r="U5" s="44"/>
      <c r="V5" s="44"/>
      <c r="W5" s="45" t="s">
        <v>75</v>
      </c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</row>
    <row r="6" hidden="1">
      <c r="A6" s="38"/>
      <c r="B6" s="38" t="s">
        <v>76</v>
      </c>
      <c r="C6" s="40">
        <v>45068.0</v>
      </c>
      <c r="D6" s="41">
        <v>2023.0</v>
      </c>
      <c r="E6" s="41">
        <v>5.0</v>
      </c>
      <c r="F6" s="38" t="s">
        <v>63</v>
      </c>
      <c r="G6" s="38"/>
      <c r="H6" s="38"/>
      <c r="I6" s="38"/>
      <c r="J6" s="38"/>
      <c r="K6" s="38"/>
      <c r="L6" s="38" t="s">
        <v>64</v>
      </c>
      <c r="M6" s="38"/>
      <c r="N6" s="42">
        <v>218.0</v>
      </c>
      <c r="O6" s="38"/>
      <c r="P6" s="42">
        <v>95.0</v>
      </c>
      <c r="Q6" s="43">
        <f t="shared" si="1"/>
        <v>0.4357798165</v>
      </c>
      <c r="R6" s="38">
        <v>84.0</v>
      </c>
      <c r="S6" s="38">
        <v>75.0</v>
      </c>
      <c r="T6" s="44">
        <f t="shared" si="2"/>
        <v>0.8928571429</v>
      </c>
      <c r="U6" s="44"/>
      <c r="V6" s="44"/>
      <c r="W6" s="45" t="s">
        <v>77</v>
      </c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</row>
    <row r="7" hidden="1">
      <c r="A7" s="38"/>
      <c r="B7" s="38" t="s">
        <v>78</v>
      </c>
      <c r="C7" s="40">
        <v>45071.0</v>
      </c>
      <c r="D7" s="41">
        <v>2023.0</v>
      </c>
      <c r="E7" s="41">
        <v>5.0</v>
      </c>
      <c r="F7" s="38" t="s">
        <v>74</v>
      </c>
      <c r="G7" s="38"/>
      <c r="H7" s="38"/>
      <c r="I7" s="38"/>
      <c r="J7" s="38"/>
      <c r="K7" s="38"/>
      <c r="L7" s="38" t="s">
        <v>64</v>
      </c>
      <c r="M7" s="38"/>
      <c r="N7" s="42">
        <v>64.0</v>
      </c>
      <c r="O7" s="38"/>
      <c r="P7" s="42">
        <v>32.0</v>
      </c>
      <c r="Q7" s="43">
        <f t="shared" si="1"/>
        <v>0.5</v>
      </c>
      <c r="R7" s="38">
        <v>113.0</v>
      </c>
      <c r="S7" s="38">
        <v>55.0</v>
      </c>
      <c r="T7" s="44">
        <f t="shared" si="2"/>
        <v>0.4867256637</v>
      </c>
      <c r="U7" s="44"/>
      <c r="V7" s="44"/>
      <c r="W7" s="45" t="s">
        <v>79</v>
      </c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</row>
    <row r="8" hidden="1">
      <c r="A8" s="38"/>
      <c r="B8" s="38" t="s">
        <v>80</v>
      </c>
      <c r="C8" s="40">
        <v>45076.0</v>
      </c>
      <c r="D8" s="41">
        <v>2023.0</v>
      </c>
      <c r="E8" s="41">
        <v>5.0</v>
      </c>
      <c r="F8" s="38" t="s">
        <v>63</v>
      </c>
      <c r="G8" s="38"/>
      <c r="H8" s="38"/>
      <c r="I8" s="38"/>
      <c r="J8" s="38"/>
      <c r="K8" s="38"/>
      <c r="L8" s="38" t="s">
        <v>64</v>
      </c>
      <c r="M8" s="38"/>
      <c r="N8" s="42">
        <v>7.0</v>
      </c>
      <c r="O8" s="38"/>
      <c r="P8" s="42">
        <v>4.0</v>
      </c>
      <c r="Q8" s="43">
        <f t="shared" si="1"/>
        <v>0.5714285714</v>
      </c>
      <c r="R8" s="38">
        <v>112.0</v>
      </c>
      <c r="S8" s="38">
        <v>110.0</v>
      </c>
      <c r="T8" s="44">
        <f t="shared" si="2"/>
        <v>0.9821428571</v>
      </c>
      <c r="U8" s="44"/>
      <c r="V8" s="44"/>
      <c r="W8" s="45" t="s">
        <v>81</v>
      </c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</row>
    <row r="9" hidden="1">
      <c r="A9" s="38"/>
      <c r="B9" s="38" t="s">
        <v>82</v>
      </c>
      <c r="C9" s="40">
        <v>45078.0</v>
      </c>
      <c r="D9" s="41">
        <v>2023.0</v>
      </c>
      <c r="E9" s="41">
        <v>6.0</v>
      </c>
      <c r="F9" s="38" t="s">
        <v>63</v>
      </c>
      <c r="G9" s="38"/>
      <c r="H9" s="38"/>
      <c r="I9" s="38"/>
      <c r="J9" s="38"/>
      <c r="K9" s="38"/>
      <c r="L9" s="38" t="s">
        <v>64</v>
      </c>
      <c r="M9" s="38"/>
      <c r="N9" s="42">
        <v>6.0</v>
      </c>
      <c r="O9" s="38"/>
      <c r="P9" s="42">
        <v>5.0</v>
      </c>
      <c r="Q9" s="43">
        <f t="shared" si="1"/>
        <v>0.8333333333</v>
      </c>
      <c r="R9" s="38">
        <v>110.0</v>
      </c>
      <c r="S9" s="38">
        <v>87.0</v>
      </c>
      <c r="T9" s="44">
        <f t="shared" si="2"/>
        <v>0.7909090909</v>
      </c>
      <c r="U9" s="44"/>
      <c r="V9" s="44"/>
      <c r="W9" s="45" t="s">
        <v>83</v>
      </c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</row>
    <row r="10" hidden="1">
      <c r="A10" s="38"/>
      <c r="B10" s="38" t="s">
        <v>84</v>
      </c>
      <c r="C10" s="40">
        <v>45082.0</v>
      </c>
      <c r="D10" s="41">
        <v>2023.0</v>
      </c>
      <c r="E10" s="41">
        <v>6.0</v>
      </c>
      <c r="F10" s="38" t="s">
        <v>74</v>
      </c>
      <c r="G10" s="38"/>
      <c r="H10" s="38"/>
      <c r="I10" s="38"/>
      <c r="J10" s="38"/>
      <c r="K10" s="38"/>
      <c r="L10" s="38" t="s">
        <v>64</v>
      </c>
      <c r="M10" s="38"/>
      <c r="N10" s="42">
        <v>82.0</v>
      </c>
      <c r="O10" s="38"/>
      <c r="P10" s="42">
        <v>34.0</v>
      </c>
      <c r="Q10" s="43">
        <f t="shared" si="1"/>
        <v>0.4146341463</v>
      </c>
      <c r="R10" s="38">
        <v>56.0</v>
      </c>
      <c r="S10" s="38">
        <v>43.0</v>
      </c>
      <c r="T10" s="44">
        <f t="shared" si="2"/>
        <v>0.7678571429</v>
      </c>
      <c r="U10" s="44"/>
      <c r="V10" s="44"/>
      <c r="W10" s="45" t="s">
        <v>85</v>
      </c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</row>
    <row r="11" hidden="1">
      <c r="A11" s="38"/>
      <c r="B11" s="38" t="s">
        <v>86</v>
      </c>
      <c r="C11" s="40">
        <v>45083.0</v>
      </c>
      <c r="D11" s="41">
        <v>2023.0</v>
      </c>
      <c r="E11" s="41">
        <v>6.0</v>
      </c>
      <c r="F11" s="38" t="s">
        <v>63</v>
      </c>
      <c r="G11" s="38"/>
      <c r="H11" s="38"/>
      <c r="I11" s="38"/>
      <c r="J11" s="38"/>
      <c r="K11" s="38"/>
      <c r="L11" s="38" t="s">
        <v>64</v>
      </c>
      <c r="M11" s="38"/>
      <c r="N11" s="42">
        <v>1476.0</v>
      </c>
      <c r="O11" s="38"/>
      <c r="P11" s="42">
        <v>985.0</v>
      </c>
      <c r="Q11" s="43">
        <f t="shared" si="1"/>
        <v>0.6673441734</v>
      </c>
      <c r="R11" s="38">
        <v>92.0</v>
      </c>
      <c r="S11" s="38">
        <v>67.0</v>
      </c>
      <c r="T11" s="44">
        <f t="shared" si="2"/>
        <v>0.7282608696</v>
      </c>
      <c r="U11" s="44"/>
      <c r="V11" s="44"/>
      <c r="W11" s="45" t="s">
        <v>87</v>
      </c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</row>
    <row r="12" hidden="1">
      <c r="A12" s="38"/>
      <c r="B12" s="38" t="s">
        <v>88</v>
      </c>
      <c r="C12" s="46">
        <v>45104.0</v>
      </c>
      <c r="D12" s="41">
        <v>2023.0</v>
      </c>
      <c r="E12" s="41">
        <v>6.0</v>
      </c>
      <c r="F12" s="38" t="s">
        <v>74</v>
      </c>
      <c r="G12" s="38"/>
      <c r="H12" s="38"/>
      <c r="I12" s="38"/>
      <c r="J12" s="38"/>
      <c r="K12" s="38"/>
      <c r="L12" s="38" t="s">
        <v>64</v>
      </c>
      <c r="M12" s="38"/>
      <c r="N12" s="42">
        <v>195.0</v>
      </c>
      <c r="O12" s="38"/>
      <c r="P12" s="42">
        <v>80.0</v>
      </c>
      <c r="Q12" s="43">
        <f t="shared" si="1"/>
        <v>0.4102564103</v>
      </c>
      <c r="R12" s="38">
        <v>62.0</v>
      </c>
      <c r="S12" s="38">
        <v>49.0</v>
      </c>
      <c r="T12" s="44">
        <f t="shared" si="2"/>
        <v>0.7903225806</v>
      </c>
      <c r="U12" s="44"/>
      <c r="V12" s="44"/>
      <c r="W12" s="45" t="s">
        <v>89</v>
      </c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</row>
    <row r="13" hidden="1">
      <c r="A13" s="38"/>
      <c r="B13" s="38" t="s">
        <v>90</v>
      </c>
      <c r="C13" s="46">
        <v>45126.0</v>
      </c>
      <c r="D13" s="41">
        <v>2023.0</v>
      </c>
      <c r="E13" s="41">
        <v>7.0</v>
      </c>
      <c r="F13" s="38" t="s">
        <v>63</v>
      </c>
      <c r="G13" s="38"/>
      <c r="H13" s="38"/>
      <c r="I13" s="38"/>
      <c r="J13" s="38"/>
      <c r="K13" s="38"/>
      <c r="L13" s="38" t="s">
        <v>64</v>
      </c>
      <c r="M13" s="38"/>
      <c r="N13" s="42">
        <v>143.0</v>
      </c>
      <c r="O13" s="38"/>
      <c r="P13" s="42">
        <v>62.0</v>
      </c>
      <c r="Q13" s="43">
        <f t="shared" si="1"/>
        <v>0.4335664336</v>
      </c>
      <c r="R13" s="38">
        <v>121.0</v>
      </c>
      <c r="S13" s="38">
        <v>94.0</v>
      </c>
      <c r="T13" s="44">
        <f t="shared" si="2"/>
        <v>0.7768595041</v>
      </c>
      <c r="U13" s="44"/>
      <c r="V13" s="44"/>
      <c r="W13" s="45" t="s">
        <v>91</v>
      </c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</row>
    <row r="14" hidden="1">
      <c r="A14" s="38"/>
      <c r="B14" s="38" t="s">
        <v>92</v>
      </c>
      <c r="C14" s="46">
        <v>45133.0</v>
      </c>
      <c r="D14" s="41">
        <v>2023.0</v>
      </c>
      <c r="E14" s="41">
        <v>7.0</v>
      </c>
      <c r="F14" s="38" t="s">
        <v>63</v>
      </c>
      <c r="G14" s="38"/>
      <c r="H14" s="38"/>
      <c r="I14" s="38"/>
      <c r="J14" s="38"/>
      <c r="K14" s="38"/>
      <c r="L14" s="38" t="s">
        <v>64</v>
      </c>
      <c r="M14" s="38"/>
      <c r="N14" s="42">
        <v>2511.0</v>
      </c>
      <c r="O14" s="38"/>
      <c r="P14" s="42">
        <v>1108.0</v>
      </c>
      <c r="Q14" s="43">
        <f t="shared" si="1"/>
        <v>0.4412584628</v>
      </c>
      <c r="R14" s="38">
        <v>95.0</v>
      </c>
      <c r="S14" s="38">
        <v>54.0</v>
      </c>
      <c r="T14" s="44">
        <f t="shared" si="2"/>
        <v>0.5684210526</v>
      </c>
      <c r="U14" s="44"/>
      <c r="V14" s="44"/>
      <c r="W14" s="45" t="s">
        <v>93</v>
      </c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</row>
    <row r="15" hidden="1">
      <c r="A15" s="38"/>
      <c r="B15" s="38" t="s">
        <v>94</v>
      </c>
      <c r="C15" s="46">
        <v>45163.0</v>
      </c>
      <c r="D15" s="41">
        <v>2023.0</v>
      </c>
      <c r="E15" s="41">
        <v>8.0</v>
      </c>
      <c r="F15" s="38" t="s">
        <v>63</v>
      </c>
      <c r="G15" s="38"/>
      <c r="H15" s="38"/>
      <c r="I15" s="38"/>
      <c r="J15" s="38"/>
      <c r="K15" s="38"/>
      <c r="L15" s="38" t="s">
        <v>64</v>
      </c>
      <c r="M15" s="38"/>
      <c r="N15" s="42">
        <v>472.0</v>
      </c>
      <c r="O15" s="38"/>
      <c r="P15" s="42">
        <v>200.0</v>
      </c>
      <c r="Q15" s="43">
        <f t="shared" si="1"/>
        <v>0.4237288136</v>
      </c>
      <c r="R15" s="38">
        <v>179.0</v>
      </c>
      <c r="S15" s="38">
        <v>86.0</v>
      </c>
      <c r="T15" s="44">
        <f t="shared" si="2"/>
        <v>0.4804469274</v>
      </c>
      <c r="U15" s="44"/>
      <c r="V15" s="44"/>
      <c r="W15" s="45" t="s">
        <v>95</v>
      </c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</row>
    <row r="16" hidden="1">
      <c r="A16" s="38"/>
      <c r="B16" s="38" t="s">
        <v>96</v>
      </c>
      <c r="C16" s="46">
        <v>45176.0</v>
      </c>
      <c r="D16" s="41">
        <v>2023.0</v>
      </c>
      <c r="E16" s="41">
        <v>9.0</v>
      </c>
      <c r="F16" s="38" t="s">
        <v>63</v>
      </c>
      <c r="G16" s="38"/>
      <c r="H16" s="38"/>
      <c r="I16" s="38"/>
      <c r="J16" s="38"/>
      <c r="K16" s="38"/>
      <c r="L16" s="38" t="s">
        <v>64</v>
      </c>
      <c r="M16" s="38"/>
      <c r="N16" s="42">
        <v>10.0</v>
      </c>
      <c r="O16" s="38"/>
      <c r="P16" s="42">
        <v>8.0</v>
      </c>
      <c r="Q16" s="43">
        <f t="shared" si="1"/>
        <v>0.8</v>
      </c>
      <c r="R16" s="38">
        <v>109.0</v>
      </c>
      <c r="S16" s="38">
        <v>43.0</v>
      </c>
      <c r="T16" s="44">
        <f t="shared" si="2"/>
        <v>0.3944954128</v>
      </c>
      <c r="U16" s="44"/>
      <c r="V16" s="44"/>
      <c r="W16" s="45" t="s">
        <v>97</v>
      </c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</row>
    <row r="17" hidden="1">
      <c r="A17" s="38"/>
      <c r="B17" s="38" t="s">
        <v>98</v>
      </c>
      <c r="C17" s="46">
        <v>45183.0</v>
      </c>
      <c r="D17" s="41">
        <v>2023.0</v>
      </c>
      <c r="E17" s="41">
        <v>9.0</v>
      </c>
      <c r="F17" s="38" t="s">
        <v>63</v>
      </c>
      <c r="G17" s="38"/>
      <c r="H17" s="38"/>
      <c r="I17" s="38"/>
      <c r="J17" s="38"/>
      <c r="K17" s="38"/>
      <c r="L17" s="38" t="s">
        <v>64</v>
      </c>
      <c r="M17" s="38"/>
      <c r="N17" s="42">
        <v>70.0</v>
      </c>
      <c r="O17" s="38"/>
      <c r="P17" s="42">
        <v>20.0</v>
      </c>
      <c r="Q17" s="43">
        <f t="shared" si="1"/>
        <v>0.2857142857</v>
      </c>
      <c r="R17" s="38">
        <v>119.0</v>
      </c>
      <c r="S17" s="38">
        <v>71.0</v>
      </c>
      <c r="T17" s="44">
        <f t="shared" si="2"/>
        <v>0.5966386555</v>
      </c>
      <c r="U17" s="44"/>
      <c r="V17" s="44"/>
      <c r="W17" s="45" t="s">
        <v>99</v>
      </c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</row>
    <row r="18" hidden="1">
      <c r="A18" s="47"/>
      <c r="B18" s="47" t="s">
        <v>100</v>
      </c>
      <c r="C18" s="40">
        <v>45190.0</v>
      </c>
      <c r="D18" s="41">
        <v>2023.0</v>
      </c>
      <c r="E18" s="41">
        <v>9.0</v>
      </c>
      <c r="F18" s="38" t="s">
        <v>70</v>
      </c>
      <c r="G18" s="38"/>
      <c r="H18" s="38"/>
      <c r="I18" s="38" t="s">
        <v>71</v>
      </c>
      <c r="J18" s="38"/>
      <c r="K18" s="38"/>
      <c r="L18" s="38" t="s">
        <v>64</v>
      </c>
      <c r="M18" s="38"/>
      <c r="N18" s="42">
        <v>1382.0</v>
      </c>
      <c r="O18" s="38"/>
      <c r="P18" s="42">
        <v>618.0</v>
      </c>
      <c r="Q18" s="43">
        <f t="shared" si="1"/>
        <v>0.4471780029</v>
      </c>
      <c r="R18" s="41">
        <v>257.0</v>
      </c>
      <c r="S18" s="41">
        <v>102.0</v>
      </c>
      <c r="T18" s="44">
        <f t="shared" si="2"/>
        <v>0.3968871595</v>
      </c>
      <c r="U18" s="44"/>
      <c r="V18" s="44"/>
      <c r="W18" s="45" t="s">
        <v>101</v>
      </c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</row>
    <row r="19" hidden="1">
      <c r="A19" s="38"/>
      <c r="B19" s="38" t="s">
        <v>102</v>
      </c>
      <c r="C19" s="46">
        <v>45195.0</v>
      </c>
      <c r="D19" s="41">
        <v>2023.0</v>
      </c>
      <c r="E19" s="41">
        <v>9.0</v>
      </c>
      <c r="F19" s="38" t="s">
        <v>63</v>
      </c>
      <c r="G19" s="38"/>
      <c r="H19" s="38"/>
      <c r="I19" s="38"/>
      <c r="J19" s="38"/>
      <c r="K19" s="38"/>
      <c r="L19" s="38" t="s">
        <v>64</v>
      </c>
      <c r="M19" s="38"/>
      <c r="N19" s="42">
        <v>84.0</v>
      </c>
      <c r="O19" s="38"/>
      <c r="P19" s="42">
        <v>27.0</v>
      </c>
      <c r="Q19" s="43">
        <f t="shared" si="1"/>
        <v>0.3214285714</v>
      </c>
      <c r="R19" s="38">
        <v>112.0</v>
      </c>
      <c r="S19" s="38">
        <v>97.0</v>
      </c>
      <c r="T19" s="44">
        <f t="shared" si="2"/>
        <v>0.8660714286</v>
      </c>
      <c r="U19" s="44"/>
      <c r="V19" s="44"/>
      <c r="W19" s="45" t="s">
        <v>103</v>
      </c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</row>
    <row r="20" hidden="1">
      <c r="A20" s="38"/>
      <c r="B20" s="38" t="s">
        <v>104</v>
      </c>
      <c r="C20" s="46">
        <v>45196.0</v>
      </c>
      <c r="D20" s="41">
        <v>2023.0</v>
      </c>
      <c r="E20" s="41">
        <v>9.0</v>
      </c>
      <c r="F20" s="38" t="s">
        <v>74</v>
      </c>
      <c r="G20" s="38"/>
      <c r="H20" s="38"/>
      <c r="I20" s="38"/>
      <c r="J20" s="38"/>
      <c r="K20" s="38"/>
      <c r="L20" s="38" t="s">
        <v>64</v>
      </c>
      <c r="M20" s="38"/>
      <c r="N20" s="42">
        <v>294.0</v>
      </c>
      <c r="O20" s="38"/>
      <c r="P20" s="42">
        <v>120.0</v>
      </c>
      <c r="Q20" s="43">
        <f t="shared" si="1"/>
        <v>0.4081632653</v>
      </c>
      <c r="R20" s="38">
        <v>72.0</v>
      </c>
      <c r="S20" s="38">
        <v>52.0</v>
      </c>
      <c r="T20" s="44">
        <f t="shared" si="2"/>
        <v>0.7222222222</v>
      </c>
      <c r="U20" s="44"/>
      <c r="V20" s="44"/>
      <c r="W20" s="45" t="s">
        <v>105</v>
      </c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</row>
    <row r="21" hidden="1">
      <c r="A21" s="38"/>
      <c r="B21" s="38" t="s">
        <v>106</v>
      </c>
      <c r="C21" s="46">
        <v>45201.0</v>
      </c>
      <c r="D21" s="41">
        <v>2023.0</v>
      </c>
      <c r="E21" s="41">
        <v>10.0</v>
      </c>
      <c r="F21" s="38" t="s">
        <v>74</v>
      </c>
      <c r="G21" s="38"/>
      <c r="H21" s="38"/>
      <c r="I21" s="38"/>
      <c r="J21" s="38"/>
      <c r="K21" s="38"/>
      <c r="L21" s="38" t="s">
        <v>64</v>
      </c>
      <c r="M21" s="38"/>
      <c r="N21" s="42">
        <v>194.0</v>
      </c>
      <c r="O21" s="38"/>
      <c r="P21" s="42">
        <v>82.0</v>
      </c>
      <c r="Q21" s="43">
        <f t="shared" si="1"/>
        <v>0.4226804124</v>
      </c>
      <c r="R21" s="38">
        <v>116.0</v>
      </c>
      <c r="S21" s="38">
        <v>73.0</v>
      </c>
      <c r="T21" s="44">
        <f t="shared" si="2"/>
        <v>0.6293103448</v>
      </c>
      <c r="U21" s="44"/>
      <c r="V21" s="44"/>
      <c r="W21" s="45" t="s">
        <v>107</v>
      </c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</row>
    <row r="22" hidden="1">
      <c r="A22" s="38"/>
      <c r="B22" s="38" t="s">
        <v>108</v>
      </c>
      <c r="C22" s="46">
        <v>45204.0</v>
      </c>
      <c r="D22" s="41">
        <v>2023.0</v>
      </c>
      <c r="E22" s="41">
        <v>10.0</v>
      </c>
      <c r="F22" s="38" t="s">
        <v>74</v>
      </c>
      <c r="G22" s="38"/>
      <c r="H22" s="38"/>
      <c r="I22" s="38"/>
      <c r="J22" s="38"/>
      <c r="K22" s="38"/>
      <c r="L22" s="38" t="s">
        <v>64</v>
      </c>
      <c r="M22" s="38"/>
      <c r="N22" s="42">
        <v>387.0</v>
      </c>
      <c r="O22" s="38"/>
      <c r="P22" s="42">
        <v>163.0</v>
      </c>
      <c r="Q22" s="43">
        <f t="shared" si="1"/>
        <v>0.4211886305</v>
      </c>
      <c r="R22" s="38">
        <v>74.0</v>
      </c>
      <c r="S22" s="38">
        <v>43.0</v>
      </c>
      <c r="T22" s="44">
        <f t="shared" si="2"/>
        <v>0.5810810811</v>
      </c>
      <c r="U22" s="44"/>
      <c r="V22" s="44"/>
      <c r="W22" s="45" t="s">
        <v>109</v>
      </c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</row>
    <row r="23" hidden="1">
      <c r="A23" s="38"/>
      <c r="B23" s="38" t="s">
        <v>110</v>
      </c>
      <c r="C23" s="46">
        <v>45209.0</v>
      </c>
      <c r="D23" s="41">
        <v>2023.0</v>
      </c>
      <c r="E23" s="41">
        <v>10.0</v>
      </c>
      <c r="F23" s="38" t="s">
        <v>74</v>
      </c>
      <c r="G23" s="38"/>
      <c r="H23" s="38"/>
      <c r="I23" s="38"/>
      <c r="J23" s="38"/>
      <c r="K23" s="38"/>
      <c r="L23" s="38" t="s">
        <v>64</v>
      </c>
      <c r="M23" s="38"/>
      <c r="N23" s="42">
        <v>82.0</v>
      </c>
      <c r="O23" s="38"/>
      <c r="P23" s="42">
        <v>38.0</v>
      </c>
      <c r="Q23" s="43">
        <f t="shared" si="1"/>
        <v>0.4634146341</v>
      </c>
      <c r="R23" s="38">
        <v>63.0</v>
      </c>
      <c r="S23" s="38">
        <v>48.0</v>
      </c>
      <c r="T23" s="44">
        <f t="shared" si="2"/>
        <v>0.7619047619</v>
      </c>
      <c r="U23" s="44"/>
      <c r="V23" s="44"/>
      <c r="W23" s="45" t="s">
        <v>111</v>
      </c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</row>
    <row r="24" hidden="1">
      <c r="A24" s="38"/>
      <c r="B24" s="38" t="s">
        <v>112</v>
      </c>
      <c r="C24" s="46">
        <v>45211.0</v>
      </c>
      <c r="D24" s="41">
        <v>2023.0</v>
      </c>
      <c r="E24" s="41">
        <v>10.0</v>
      </c>
      <c r="F24" s="38" t="s">
        <v>74</v>
      </c>
      <c r="G24" s="38"/>
      <c r="H24" s="38"/>
      <c r="I24" s="38" t="s">
        <v>67</v>
      </c>
      <c r="J24" s="38"/>
      <c r="K24" s="38"/>
      <c r="L24" s="38" t="s">
        <v>64</v>
      </c>
      <c r="M24" s="38"/>
      <c r="N24" s="42">
        <v>384.0</v>
      </c>
      <c r="O24" s="38"/>
      <c r="P24" s="42">
        <v>186.0</v>
      </c>
      <c r="Q24" s="43">
        <f t="shared" si="1"/>
        <v>0.484375</v>
      </c>
      <c r="R24" s="38">
        <v>59.0</v>
      </c>
      <c r="S24" s="38">
        <v>42.0</v>
      </c>
      <c r="T24" s="44">
        <f t="shared" si="2"/>
        <v>0.7118644068</v>
      </c>
      <c r="U24" s="44"/>
      <c r="V24" s="44"/>
      <c r="W24" s="45" t="s">
        <v>113</v>
      </c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</row>
    <row r="25" hidden="1">
      <c r="A25" s="38"/>
      <c r="B25" s="38" t="s">
        <v>114</v>
      </c>
      <c r="C25" s="46">
        <v>45218.0</v>
      </c>
      <c r="D25" s="41">
        <v>2023.0</v>
      </c>
      <c r="E25" s="41">
        <v>10.0</v>
      </c>
      <c r="F25" s="38" t="s">
        <v>74</v>
      </c>
      <c r="G25" s="38"/>
      <c r="H25" s="38"/>
      <c r="I25" s="38" t="s">
        <v>67</v>
      </c>
      <c r="J25" s="38"/>
      <c r="K25" s="38"/>
      <c r="L25" s="38" t="s">
        <v>64</v>
      </c>
      <c r="M25" s="38"/>
      <c r="N25" s="42">
        <v>244.0</v>
      </c>
      <c r="O25" s="38"/>
      <c r="P25" s="42">
        <v>58.0</v>
      </c>
      <c r="Q25" s="43">
        <f t="shared" si="1"/>
        <v>0.237704918</v>
      </c>
      <c r="R25" s="38">
        <v>244.0</v>
      </c>
      <c r="S25" s="38">
        <v>165.0</v>
      </c>
      <c r="T25" s="44">
        <f t="shared" si="2"/>
        <v>0.6762295082</v>
      </c>
      <c r="U25" s="44"/>
      <c r="V25" s="44"/>
      <c r="W25" s="45" t="s">
        <v>115</v>
      </c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</row>
    <row r="26" hidden="1">
      <c r="A26" s="38"/>
      <c r="B26" s="38" t="s">
        <v>116</v>
      </c>
      <c r="C26" s="46">
        <v>45229.0</v>
      </c>
      <c r="D26" s="41">
        <v>2023.0</v>
      </c>
      <c r="E26" s="41">
        <v>10.0</v>
      </c>
      <c r="F26" s="38" t="s">
        <v>74</v>
      </c>
      <c r="G26" s="38"/>
      <c r="H26" s="38"/>
      <c r="I26" s="38"/>
      <c r="J26" s="38"/>
      <c r="K26" s="38"/>
      <c r="L26" s="38" t="s">
        <v>64</v>
      </c>
      <c r="M26" s="38"/>
      <c r="N26" s="42">
        <v>1074.0</v>
      </c>
      <c r="O26" s="38"/>
      <c r="P26" s="42">
        <v>592.0</v>
      </c>
      <c r="Q26" s="43">
        <f t="shared" si="1"/>
        <v>0.5512104283</v>
      </c>
      <c r="R26" s="38">
        <v>63.0</v>
      </c>
      <c r="S26" s="38">
        <v>50.0</v>
      </c>
      <c r="T26" s="44">
        <f t="shared" si="2"/>
        <v>0.7936507937</v>
      </c>
      <c r="U26" s="44"/>
      <c r="V26" s="44"/>
      <c r="W26" s="45" t="s">
        <v>117</v>
      </c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</row>
    <row r="27" hidden="1">
      <c r="A27" s="38"/>
      <c r="B27" s="38" t="s">
        <v>118</v>
      </c>
      <c r="C27" s="46">
        <v>45239.0</v>
      </c>
      <c r="D27" s="41">
        <v>2023.0</v>
      </c>
      <c r="E27" s="41">
        <v>11.0</v>
      </c>
      <c r="F27" s="38" t="s">
        <v>74</v>
      </c>
      <c r="G27" s="38"/>
      <c r="H27" s="38"/>
      <c r="I27" s="38"/>
      <c r="J27" s="38"/>
      <c r="K27" s="38"/>
      <c r="L27" s="38" t="s">
        <v>64</v>
      </c>
      <c r="M27" s="38"/>
      <c r="N27" s="42">
        <v>1107.0</v>
      </c>
      <c r="O27" s="38"/>
      <c r="P27" s="42">
        <v>532.0</v>
      </c>
      <c r="Q27" s="43">
        <f t="shared" si="1"/>
        <v>0.4805781391</v>
      </c>
      <c r="R27" s="38">
        <v>68.0</v>
      </c>
      <c r="S27" s="38">
        <v>46.0</v>
      </c>
      <c r="T27" s="44">
        <f t="shared" si="2"/>
        <v>0.6764705882</v>
      </c>
      <c r="U27" s="44"/>
      <c r="V27" s="44"/>
      <c r="W27" s="45" t="s">
        <v>119</v>
      </c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</row>
    <row r="28" hidden="1">
      <c r="A28" s="38"/>
      <c r="B28" s="38" t="s">
        <v>120</v>
      </c>
      <c r="C28" s="46">
        <v>45250.0</v>
      </c>
      <c r="D28" s="41">
        <v>2023.0</v>
      </c>
      <c r="E28" s="41">
        <v>11.0</v>
      </c>
      <c r="F28" s="38" t="s">
        <v>74</v>
      </c>
      <c r="G28" s="38"/>
      <c r="H28" s="38"/>
      <c r="I28" s="38"/>
      <c r="J28" s="38"/>
      <c r="K28" s="38"/>
      <c r="L28" s="38" t="s">
        <v>64</v>
      </c>
      <c r="M28" s="38"/>
      <c r="N28" s="42">
        <v>1351.0</v>
      </c>
      <c r="O28" s="38"/>
      <c r="P28" s="42">
        <v>726.0</v>
      </c>
      <c r="Q28" s="43">
        <f t="shared" si="1"/>
        <v>0.5373797187</v>
      </c>
      <c r="R28" s="38">
        <v>57.0</v>
      </c>
      <c r="S28" s="38">
        <v>45.0</v>
      </c>
      <c r="T28" s="44">
        <f t="shared" si="2"/>
        <v>0.7894736842</v>
      </c>
      <c r="U28" s="44"/>
      <c r="V28" s="44"/>
      <c r="W28" s="45" t="s">
        <v>121</v>
      </c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</row>
    <row r="29" hidden="1">
      <c r="A29" s="38"/>
      <c r="B29" s="38" t="s">
        <v>122</v>
      </c>
      <c r="C29" s="46">
        <v>45254.0</v>
      </c>
      <c r="D29" s="41">
        <v>2023.0</v>
      </c>
      <c r="E29" s="41">
        <v>11.0</v>
      </c>
      <c r="F29" s="38" t="s">
        <v>74</v>
      </c>
      <c r="G29" s="38"/>
      <c r="H29" s="38"/>
      <c r="I29" s="38"/>
      <c r="J29" s="38"/>
      <c r="K29" s="38"/>
      <c r="L29" s="38" t="s">
        <v>64</v>
      </c>
      <c r="M29" s="38"/>
      <c r="N29" s="42">
        <v>599.0</v>
      </c>
      <c r="O29" s="38"/>
      <c r="P29" s="42">
        <v>185.0</v>
      </c>
      <c r="Q29" s="43">
        <f t="shared" si="1"/>
        <v>0.3088480801</v>
      </c>
      <c r="R29" s="38">
        <v>82.0</v>
      </c>
      <c r="S29" s="38">
        <v>60.0</v>
      </c>
      <c r="T29" s="44">
        <f t="shared" si="2"/>
        <v>0.7317073171</v>
      </c>
      <c r="U29" s="44"/>
      <c r="V29" s="44"/>
      <c r="W29" s="45" t="s">
        <v>123</v>
      </c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</row>
    <row r="30" hidden="1">
      <c r="A30" s="47"/>
      <c r="B30" s="47" t="s">
        <v>124</v>
      </c>
      <c r="C30" s="46">
        <v>45258.0</v>
      </c>
      <c r="D30" s="41">
        <v>2023.0</v>
      </c>
      <c r="E30" s="41">
        <v>11.0</v>
      </c>
      <c r="F30" s="38" t="s">
        <v>70</v>
      </c>
      <c r="G30" s="38"/>
      <c r="H30" s="38"/>
      <c r="I30" s="38" t="s">
        <v>71</v>
      </c>
      <c r="J30" s="38"/>
      <c r="K30" s="38"/>
      <c r="L30" s="38" t="s">
        <v>64</v>
      </c>
      <c r="M30" s="38"/>
      <c r="N30" s="42">
        <v>1459.0</v>
      </c>
      <c r="O30" s="38"/>
      <c r="P30" s="42">
        <v>639.0</v>
      </c>
      <c r="Q30" s="43">
        <f t="shared" si="1"/>
        <v>0.4379712132</v>
      </c>
      <c r="R30" s="41">
        <v>187.0</v>
      </c>
      <c r="S30" s="41">
        <v>96.0</v>
      </c>
      <c r="T30" s="44">
        <f t="shared" si="2"/>
        <v>0.513368984</v>
      </c>
      <c r="U30" s="44"/>
      <c r="V30" s="44"/>
      <c r="W30" s="45" t="s">
        <v>125</v>
      </c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</row>
    <row r="31" hidden="1">
      <c r="A31" s="38"/>
      <c r="B31" s="38" t="s">
        <v>126</v>
      </c>
      <c r="C31" s="46">
        <v>45259.0</v>
      </c>
      <c r="D31" s="41">
        <v>2023.0</v>
      </c>
      <c r="E31" s="41">
        <v>11.0</v>
      </c>
      <c r="F31" s="38" t="s">
        <v>74</v>
      </c>
      <c r="G31" s="38"/>
      <c r="H31" s="38"/>
      <c r="I31" s="38" t="s">
        <v>67</v>
      </c>
      <c r="J31" s="38"/>
      <c r="K31" s="38"/>
      <c r="L31" s="38" t="s">
        <v>64</v>
      </c>
      <c r="M31" s="38"/>
      <c r="N31" s="42">
        <v>110.0</v>
      </c>
      <c r="O31" s="38"/>
      <c r="P31" s="42">
        <v>51.0</v>
      </c>
      <c r="Q31" s="43">
        <f t="shared" si="1"/>
        <v>0.4636363636</v>
      </c>
      <c r="R31" s="38">
        <v>116.0</v>
      </c>
      <c r="S31" s="38">
        <v>79.0</v>
      </c>
      <c r="T31" s="44">
        <f t="shared" si="2"/>
        <v>0.6810344828</v>
      </c>
      <c r="U31" s="44"/>
      <c r="V31" s="44"/>
      <c r="W31" s="45" t="s">
        <v>127</v>
      </c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</row>
    <row r="32" hidden="1">
      <c r="A32" s="47"/>
      <c r="B32" s="47" t="s">
        <v>128</v>
      </c>
      <c r="C32" s="46">
        <v>45261.0</v>
      </c>
      <c r="D32" s="41">
        <v>2023.0</v>
      </c>
      <c r="E32" s="41">
        <v>12.0</v>
      </c>
      <c r="F32" s="38" t="s">
        <v>70</v>
      </c>
      <c r="G32" s="38"/>
      <c r="H32" s="38"/>
      <c r="I32" s="38" t="s">
        <v>71</v>
      </c>
      <c r="J32" s="38"/>
      <c r="K32" s="38"/>
      <c r="L32" s="38" t="s">
        <v>64</v>
      </c>
      <c r="M32" s="38"/>
      <c r="N32" s="42">
        <v>1343.0</v>
      </c>
      <c r="O32" s="38"/>
      <c r="P32" s="42">
        <v>411.0</v>
      </c>
      <c r="Q32" s="43">
        <f t="shared" si="1"/>
        <v>0.3060312733</v>
      </c>
      <c r="R32" s="41">
        <v>566.0</v>
      </c>
      <c r="S32" s="41">
        <v>63.0</v>
      </c>
      <c r="T32" s="44">
        <f t="shared" si="2"/>
        <v>0.1113074205</v>
      </c>
      <c r="U32" s="44"/>
      <c r="V32" s="44"/>
      <c r="W32" s="45" t="s">
        <v>129</v>
      </c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</row>
    <row r="33" hidden="1">
      <c r="A33" s="38"/>
      <c r="B33" s="38" t="s">
        <v>130</v>
      </c>
      <c r="C33" s="46">
        <v>45265.0</v>
      </c>
      <c r="D33" s="41">
        <v>2023.0</v>
      </c>
      <c r="E33" s="41">
        <v>12.0</v>
      </c>
      <c r="F33" s="38" t="s">
        <v>74</v>
      </c>
      <c r="G33" s="38"/>
      <c r="H33" s="38"/>
      <c r="I33" s="38"/>
      <c r="J33" s="38"/>
      <c r="K33" s="38"/>
      <c r="L33" s="38" t="s">
        <v>64</v>
      </c>
      <c r="M33" s="38"/>
      <c r="N33" s="42">
        <v>303.0</v>
      </c>
      <c r="O33" s="38"/>
      <c r="P33" s="42">
        <v>82.0</v>
      </c>
      <c r="Q33" s="43">
        <f t="shared" si="1"/>
        <v>0.2706270627</v>
      </c>
      <c r="R33" s="38">
        <v>74.0</v>
      </c>
      <c r="S33" s="38">
        <v>52.0</v>
      </c>
      <c r="T33" s="44">
        <f t="shared" si="2"/>
        <v>0.7027027027</v>
      </c>
      <c r="U33" s="44"/>
      <c r="V33" s="44"/>
      <c r="W33" s="45" t="s">
        <v>131</v>
      </c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</row>
    <row r="34" hidden="1">
      <c r="A34" s="38"/>
      <c r="B34" s="38" t="s">
        <v>132</v>
      </c>
      <c r="C34" s="46">
        <v>45267.0</v>
      </c>
      <c r="D34" s="41">
        <v>2023.0</v>
      </c>
      <c r="E34" s="41">
        <v>12.0</v>
      </c>
      <c r="F34" s="38" t="s">
        <v>63</v>
      </c>
      <c r="G34" s="38"/>
      <c r="H34" s="38"/>
      <c r="I34" s="38"/>
      <c r="J34" s="38"/>
      <c r="K34" s="38"/>
      <c r="L34" s="38" t="s">
        <v>64</v>
      </c>
      <c r="M34" s="38"/>
      <c r="N34" s="42">
        <v>117.0</v>
      </c>
      <c r="O34" s="38"/>
      <c r="P34" s="42">
        <v>39.0</v>
      </c>
      <c r="Q34" s="43">
        <f t="shared" si="1"/>
        <v>0.3333333333</v>
      </c>
      <c r="R34" s="38">
        <v>64.0</v>
      </c>
      <c r="S34" s="38">
        <v>45.0</v>
      </c>
      <c r="T34" s="44">
        <f t="shared" si="2"/>
        <v>0.703125</v>
      </c>
      <c r="U34" s="44"/>
      <c r="V34" s="44"/>
      <c r="W34" s="45" t="s">
        <v>133</v>
      </c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</row>
    <row r="35" hidden="1">
      <c r="A35" s="38"/>
      <c r="B35" s="38" t="s">
        <v>134</v>
      </c>
      <c r="C35" s="46">
        <v>45273.0</v>
      </c>
      <c r="D35" s="41">
        <v>2023.0</v>
      </c>
      <c r="E35" s="41">
        <v>12.0</v>
      </c>
      <c r="F35" s="38" t="s">
        <v>74</v>
      </c>
      <c r="G35" s="38"/>
      <c r="H35" s="38"/>
      <c r="I35" s="38"/>
      <c r="J35" s="38"/>
      <c r="K35" s="38"/>
      <c r="L35" s="38" t="s">
        <v>64</v>
      </c>
      <c r="M35" s="38"/>
      <c r="N35" s="42">
        <v>81.0</v>
      </c>
      <c r="O35" s="38"/>
      <c r="P35" s="42">
        <v>23.0</v>
      </c>
      <c r="Q35" s="43">
        <f t="shared" si="1"/>
        <v>0.2839506173</v>
      </c>
      <c r="R35" s="38">
        <v>122.0</v>
      </c>
      <c r="S35" s="38">
        <v>57.0</v>
      </c>
      <c r="T35" s="44">
        <f t="shared" si="2"/>
        <v>0.4672131148</v>
      </c>
      <c r="U35" s="44"/>
      <c r="V35" s="44"/>
      <c r="W35" s="45" t="s">
        <v>135</v>
      </c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</row>
    <row r="36" hidden="1">
      <c r="A36" s="38"/>
      <c r="B36" s="38" t="s">
        <v>136</v>
      </c>
      <c r="C36" s="46">
        <v>45279.0</v>
      </c>
      <c r="D36" s="41">
        <v>2023.0</v>
      </c>
      <c r="E36" s="41">
        <v>12.0</v>
      </c>
      <c r="F36" s="38" t="s">
        <v>74</v>
      </c>
      <c r="G36" s="38"/>
      <c r="H36" s="38"/>
      <c r="I36" s="38" t="s">
        <v>7</v>
      </c>
      <c r="J36" s="38"/>
      <c r="K36" s="38"/>
      <c r="L36" s="38" t="s">
        <v>64</v>
      </c>
      <c r="M36" s="38"/>
      <c r="N36" s="42">
        <v>311.0</v>
      </c>
      <c r="O36" s="38"/>
      <c r="P36" s="42">
        <v>108.0</v>
      </c>
      <c r="Q36" s="43">
        <f t="shared" si="1"/>
        <v>0.347266881</v>
      </c>
      <c r="R36" s="38">
        <v>50.0</v>
      </c>
      <c r="S36" s="38">
        <v>38.0</v>
      </c>
      <c r="T36" s="44">
        <f t="shared" si="2"/>
        <v>0.76</v>
      </c>
      <c r="U36" s="44"/>
      <c r="V36" s="44"/>
      <c r="W36" s="45" t="s">
        <v>137</v>
      </c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</row>
    <row r="37" hidden="1">
      <c r="A37" s="38"/>
      <c r="B37" s="38" t="s">
        <v>138</v>
      </c>
      <c r="C37" s="40">
        <v>45301.0</v>
      </c>
      <c r="D37" s="41">
        <v>2024.0</v>
      </c>
      <c r="E37" s="41">
        <v>1.0</v>
      </c>
      <c r="F37" s="38" t="s">
        <v>63</v>
      </c>
      <c r="G37" s="38"/>
      <c r="H37" s="38"/>
      <c r="I37" s="38"/>
      <c r="J37" s="38"/>
      <c r="K37" s="38"/>
      <c r="L37" s="38" t="s">
        <v>64</v>
      </c>
      <c r="M37" s="38"/>
      <c r="N37" s="42">
        <v>62.0</v>
      </c>
      <c r="O37" s="38"/>
      <c r="P37" s="42">
        <v>27.0</v>
      </c>
      <c r="Q37" s="43">
        <f t="shared" si="1"/>
        <v>0.435483871</v>
      </c>
      <c r="R37" s="38">
        <v>95.0</v>
      </c>
      <c r="S37" s="38">
        <v>80.0</v>
      </c>
      <c r="T37" s="44">
        <f t="shared" si="2"/>
        <v>0.8421052632</v>
      </c>
      <c r="U37" s="44"/>
      <c r="V37" s="44"/>
      <c r="W37" s="45" t="s">
        <v>139</v>
      </c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</row>
    <row r="38" hidden="1">
      <c r="A38" s="38"/>
      <c r="B38" s="38" t="s">
        <v>140</v>
      </c>
      <c r="C38" s="40">
        <v>45322.0</v>
      </c>
      <c r="D38" s="41">
        <v>2024.0</v>
      </c>
      <c r="E38" s="41">
        <v>1.0</v>
      </c>
      <c r="F38" s="38" t="s">
        <v>74</v>
      </c>
      <c r="G38" s="38"/>
      <c r="H38" s="38"/>
      <c r="I38" s="38" t="s">
        <v>7</v>
      </c>
      <c r="J38" s="38"/>
      <c r="K38" s="38"/>
      <c r="L38" s="38" t="s">
        <v>64</v>
      </c>
      <c r="M38" s="38"/>
      <c r="N38" s="42">
        <v>680.0</v>
      </c>
      <c r="O38" s="38"/>
      <c r="P38" s="42">
        <v>346.0</v>
      </c>
      <c r="Q38" s="43">
        <f t="shared" si="1"/>
        <v>0.5088235294</v>
      </c>
      <c r="R38" s="38">
        <v>63.0</v>
      </c>
      <c r="S38" s="38">
        <v>48.0</v>
      </c>
      <c r="T38" s="44">
        <f t="shared" si="2"/>
        <v>0.7619047619</v>
      </c>
      <c r="U38" s="44"/>
      <c r="V38" s="44"/>
      <c r="W38" s="45" t="s">
        <v>141</v>
      </c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</row>
    <row r="39" hidden="1">
      <c r="A39" s="39"/>
      <c r="B39" s="39" t="s">
        <v>142</v>
      </c>
      <c r="C39" s="40">
        <v>45335.0</v>
      </c>
      <c r="D39" s="41">
        <v>2024.0</v>
      </c>
      <c r="E39" s="41">
        <v>2.0</v>
      </c>
      <c r="F39" s="38" t="s">
        <v>74</v>
      </c>
      <c r="G39" s="38"/>
      <c r="H39" s="38"/>
      <c r="I39" s="38"/>
      <c r="J39" s="38"/>
      <c r="K39" s="38"/>
      <c r="L39" s="38" t="s">
        <v>64</v>
      </c>
      <c r="M39" s="38"/>
      <c r="N39" s="42">
        <v>305.0</v>
      </c>
      <c r="O39" s="38"/>
      <c r="P39" s="42">
        <v>121.0</v>
      </c>
      <c r="Q39" s="43">
        <f t="shared" si="1"/>
        <v>0.3967213115</v>
      </c>
      <c r="R39" s="38">
        <v>77.0</v>
      </c>
      <c r="S39" s="38">
        <v>48.0</v>
      </c>
      <c r="T39" s="44">
        <f t="shared" si="2"/>
        <v>0.6233766234</v>
      </c>
      <c r="U39" s="44"/>
      <c r="V39" s="44"/>
      <c r="W39" s="45" t="s">
        <v>143</v>
      </c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</row>
    <row r="40" hidden="1">
      <c r="A40" s="39"/>
      <c r="B40" s="39" t="s">
        <v>144</v>
      </c>
      <c r="C40" s="40">
        <v>45342.0</v>
      </c>
      <c r="D40" s="41">
        <v>2024.0</v>
      </c>
      <c r="E40" s="41">
        <v>2.0</v>
      </c>
      <c r="F40" s="38" t="s">
        <v>63</v>
      </c>
      <c r="G40" s="38"/>
      <c r="H40" s="38"/>
      <c r="I40" s="38"/>
      <c r="J40" s="38"/>
      <c r="K40" s="38"/>
      <c r="L40" s="38" t="s">
        <v>64</v>
      </c>
      <c r="M40" s="38"/>
      <c r="N40" s="42">
        <v>37.0</v>
      </c>
      <c r="O40" s="38"/>
      <c r="P40" s="42">
        <v>17.0</v>
      </c>
      <c r="Q40" s="43">
        <f t="shared" si="1"/>
        <v>0.4594594595</v>
      </c>
      <c r="R40" s="38">
        <v>103.0</v>
      </c>
      <c r="S40" s="38">
        <v>94.0</v>
      </c>
      <c r="T40" s="44">
        <f t="shared" si="2"/>
        <v>0.9126213592</v>
      </c>
      <c r="U40" s="44"/>
      <c r="V40" s="44"/>
      <c r="W40" s="45" t="s">
        <v>145</v>
      </c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</row>
    <row r="41" hidden="1">
      <c r="A41" s="39"/>
      <c r="B41" s="39" t="s">
        <v>146</v>
      </c>
      <c r="C41" s="40">
        <v>45348.0</v>
      </c>
      <c r="D41" s="41">
        <v>2024.0</v>
      </c>
      <c r="E41" s="41">
        <v>2.0</v>
      </c>
      <c r="F41" s="38" t="s">
        <v>74</v>
      </c>
      <c r="G41" s="38"/>
      <c r="H41" s="38"/>
      <c r="I41" s="38"/>
      <c r="J41" s="38"/>
      <c r="K41" s="38"/>
      <c r="L41" s="38" t="s">
        <v>64</v>
      </c>
      <c r="M41" s="38"/>
      <c r="N41" s="42">
        <v>152.0</v>
      </c>
      <c r="O41" s="38"/>
      <c r="P41" s="42">
        <v>66.0</v>
      </c>
      <c r="Q41" s="43">
        <f t="shared" si="1"/>
        <v>0.4342105263</v>
      </c>
      <c r="R41" s="38">
        <v>88.0</v>
      </c>
      <c r="S41" s="38">
        <v>56.0</v>
      </c>
      <c r="T41" s="44">
        <f t="shared" si="2"/>
        <v>0.6363636364</v>
      </c>
      <c r="U41" s="44"/>
      <c r="V41" s="44"/>
      <c r="W41" s="45" t="s">
        <v>147</v>
      </c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</row>
    <row r="42" hidden="1">
      <c r="A42" s="39"/>
      <c r="B42" s="39" t="s">
        <v>148</v>
      </c>
      <c r="C42" s="40">
        <v>45349.0</v>
      </c>
      <c r="D42" s="41">
        <v>2024.0</v>
      </c>
      <c r="E42" s="41">
        <v>2.0</v>
      </c>
      <c r="F42" s="38" t="s">
        <v>74</v>
      </c>
      <c r="G42" s="38"/>
      <c r="H42" s="38"/>
      <c r="I42" s="38" t="s">
        <v>7</v>
      </c>
      <c r="J42" s="38"/>
      <c r="K42" s="38"/>
      <c r="L42" s="38" t="s">
        <v>64</v>
      </c>
      <c r="M42" s="38"/>
      <c r="N42" s="42">
        <v>252.0</v>
      </c>
      <c r="O42" s="38"/>
      <c r="P42" s="42">
        <v>103.0</v>
      </c>
      <c r="Q42" s="43">
        <f t="shared" si="1"/>
        <v>0.4087301587</v>
      </c>
      <c r="R42" s="38">
        <v>64.0</v>
      </c>
      <c r="S42" s="38">
        <v>45.0</v>
      </c>
      <c r="T42" s="44">
        <f t="shared" si="2"/>
        <v>0.703125</v>
      </c>
      <c r="U42" s="44"/>
      <c r="V42" s="44"/>
      <c r="W42" s="45" t="s">
        <v>149</v>
      </c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</row>
    <row r="43" hidden="1">
      <c r="A43" s="38"/>
      <c r="B43" s="38" t="s">
        <v>150</v>
      </c>
      <c r="C43" s="40">
        <v>45358.0</v>
      </c>
      <c r="D43" s="41">
        <v>2024.0</v>
      </c>
      <c r="E43" s="41">
        <v>3.0</v>
      </c>
      <c r="F43" s="38" t="s">
        <v>63</v>
      </c>
      <c r="G43" s="38"/>
      <c r="H43" s="38"/>
      <c r="I43" s="38"/>
      <c r="J43" s="38"/>
      <c r="K43" s="38"/>
      <c r="L43" s="38" t="s">
        <v>64</v>
      </c>
      <c r="M43" s="38"/>
      <c r="N43" s="42">
        <v>380.0</v>
      </c>
      <c r="O43" s="38"/>
      <c r="P43" s="42">
        <v>154.0</v>
      </c>
      <c r="Q43" s="43">
        <f t="shared" si="1"/>
        <v>0.4052631579</v>
      </c>
      <c r="R43" s="38">
        <v>600.0</v>
      </c>
      <c r="S43" s="38">
        <v>185.0</v>
      </c>
      <c r="T43" s="44">
        <f t="shared" si="2"/>
        <v>0.3083333333</v>
      </c>
      <c r="U43" s="44"/>
      <c r="V43" s="44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</row>
    <row r="44" hidden="1">
      <c r="A44" s="38"/>
      <c r="B44" s="38" t="s">
        <v>151</v>
      </c>
      <c r="C44" s="40">
        <v>45359.0</v>
      </c>
      <c r="D44" s="41">
        <v>2024.0</v>
      </c>
      <c r="E44" s="41">
        <v>3.0</v>
      </c>
      <c r="F44" s="38" t="s">
        <v>63</v>
      </c>
      <c r="G44" s="38"/>
      <c r="H44" s="38"/>
      <c r="I44" s="38"/>
      <c r="J44" s="38"/>
      <c r="K44" s="38"/>
      <c r="L44" s="38" t="s">
        <v>64</v>
      </c>
      <c r="M44" s="38"/>
      <c r="N44" s="42">
        <v>158.0</v>
      </c>
      <c r="O44" s="38"/>
      <c r="P44" s="42">
        <v>41.0</v>
      </c>
      <c r="Q44" s="43">
        <f t="shared" si="1"/>
        <v>0.2594936709</v>
      </c>
      <c r="R44" s="38">
        <v>104.0</v>
      </c>
      <c r="S44" s="38">
        <v>45.0</v>
      </c>
      <c r="T44" s="44">
        <f t="shared" si="2"/>
        <v>0.4326923077</v>
      </c>
      <c r="U44" s="44"/>
      <c r="V44" s="44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</row>
    <row r="45" hidden="1">
      <c r="A45" s="38"/>
      <c r="B45" s="38" t="s">
        <v>152</v>
      </c>
      <c r="C45" s="40">
        <v>45359.0</v>
      </c>
      <c r="D45" s="41">
        <v>2024.0</v>
      </c>
      <c r="E45" s="41">
        <v>3.0</v>
      </c>
      <c r="F45" s="38" t="s">
        <v>63</v>
      </c>
      <c r="G45" s="38"/>
      <c r="H45" s="38"/>
      <c r="I45" s="38"/>
      <c r="J45" s="38"/>
      <c r="K45" s="38"/>
      <c r="L45" s="38" t="s">
        <v>64</v>
      </c>
      <c r="M45" s="38"/>
      <c r="N45" s="42">
        <v>353.0</v>
      </c>
      <c r="O45" s="38"/>
      <c r="P45" s="42">
        <v>74.0</v>
      </c>
      <c r="Q45" s="43">
        <f t="shared" si="1"/>
        <v>0.209631728</v>
      </c>
      <c r="R45" s="38">
        <v>152.0</v>
      </c>
      <c r="S45" s="38">
        <v>82.0</v>
      </c>
      <c r="T45" s="44">
        <f t="shared" si="2"/>
        <v>0.5394736842</v>
      </c>
      <c r="U45" s="44"/>
      <c r="V45" s="44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</row>
    <row r="46" hidden="1">
      <c r="A46" s="38"/>
      <c r="B46" s="38" t="s">
        <v>153</v>
      </c>
      <c r="C46" s="40">
        <v>45359.0</v>
      </c>
      <c r="D46" s="41">
        <v>2024.0</v>
      </c>
      <c r="E46" s="41">
        <v>3.0</v>
      </c>
      <c r="F46" s="38" t="s">
        <v>63</v>
      </c>
      <c r="G46" s="38"/>
      <c r="H46" s="38"/>
      <c r="I46" s="38"/>
      <c r="J46" s="38"/>
      <c r="K46" s="38"/>
      <c r="L46" s="38" t="s">
        <v>64</v>
      </c>
      <c r="M46" s="38"/>
      <c r="N46" s="42">
        <v>49.0</v>
      </c>
      <c r="O46" s="38"/>
      <c r="P46" s="42">
        <v>24.0</v>
      </c>
      <c r="Q46" s="43">
        <f t="shared" si="1"/>
        <v>0.4897959184</v>
      </c>
      <c r="R46" s="38">
        <v>95.0</v>
      </c>
      <c r="S46" s="38">
        <v>54.0</v>
      </c>
      <c r="T46" s="44">
        <f t="shared" si="2"/>
        <v>0.5684210526</v>
      </c>
      <c r="U46" s="44"/>
      <c r="V46" s="44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</row>
    <row r="47" hidden="1">
      <c r="A47" s="38"/>
      <c r="B47" s="38" t="s">
        <v>154</v>
      </c>
      <c r="C47" s="40">
        <v>45359.0</v>
      </c>
      <c r="D47" s="41">
        <v>2024.0</v>
      </c>
      <c r="E47" s="41">
        <v>3.0</v>
      </c>
      <c r="F47" s="38" t="s">
        <v>63</v>
      </c>
      <c r="G47" s="38"/>
      <c r="H47" s="38"/>
      <c r="I47" s="38"/>
      <c r="J47" s="38"/>
      <c r="K47" s="38"/>
      <c r="L47" s="38" t="s">
        <v>64</v>
      </c>
      <c r="M47" s="38"/>
      <c r="N47" s="42">
        <v>300.0</v>
      </c>
      <c r="O47" s="38"/>
      <c r="P47" s="42">
        <v>96.0</v>
      </c>
      <c r="Q47" s="43">
        <f t="shared" si="1"/>
        <v>0.32</v>
      </c>
      <c r="R47" s="38">
        <v>586.0</v>
      </c>
      <c r="S47" s="38">
        <v>135.0</v>
      </c>
      <c r="T47" s="44">
        <f t="shared" si="2"/>
        <v>0.2303754266</v>
      </c>
      <c r="U47" s="44"/>
      <c r="V47" s="44"/>
      <c r="W47" s="45" t="s">
        <v>155</v>
      </c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</row>
    <row r="48" hidden="1">
      <c r="A48" s="38"/>
      <c r="B48" s="38" t="s">
        <v>156</v>
      </c>
      <c r="C48" s="40">
        <v>45359.0</v>
      </c>
      <c r="D48" s="41">
        <v>2024.0</v>
      </c>
      <c r="E48" s="41">
        <v>3.0</v>
      </c>
      <c r="F48" s="38" t="s">
        <v>63</v>
      </c>
      <c r="G48" s="38"/>
      <c r="H48" s="38"/>
      <c r="I48" s="38"/>
      <c r="J48" s="38"/>
      <c r="K48" s="38"/>
      <c r="L48" s="38" t="s">
        <v>64</v>
      </c>
      <c r="M48" s="38"/>
      <c r="N48" s="42">
        <v>132.0</v>
      </c>
      <c r="O48" s="38"/>
      <c r="P48" s="42">
        <v>41.0</v>
      </c>
      <c r="Q48" s="43">
        <f t="shared" si="1"/>
        <v>0.3106060606</v>
      </c>
      <c r="R48" s="38">
        <v>586.0</v>
      </c>
      <c r="S48" s="38">
        <v>167.0</v>
      </c>
      <c r="T48" s="44">
        <f t="shared" si="2"/>
        <v>0.2849829352</v>
      </c>
      <c r="U48" s="44"/>
      <c r="V48" s="44"/>
      <c r="W48" s="45" t="s">
        <v>157</v>
      </c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</row>
    <row r="49" hidden="1">
      <c r="A49" s="39"/>
      <c r="B49" s="39" t="s">
        <v>158</v>
      </c>
      <c r="C49" s="40">
        <v>45384.0</v>
      </c>
      <c r="D49" s="41">
        <v>2024.0</v>
      </c>
      <c r="E49" s="41">
        <v>4.0</v>
      </c>
      <c r="F49" s="38" t="s">
        <v>63</v>
      </c>
      <c r="G49" s="38"/>
      <c r="H49" s="38"/>
      <c r="I49" s="38"/>
      <c r="J49" s="38"/>
      <c r="K49" s="38"/>
      <c r="L49" s="38" t="s">
        <v>64</v>
      </c>
      <c r="M49" s="38"/>
      <c r="N49" s="42">
        <v>149.0</v>
      </c>
      <c r="O49" s="38"/>
      <c r="P49" s="42">
        <v>55.0</v>
      </c>
      <c r="Q49" s="43">
        <f t="shared" si="1"/>
        <v>0.3691275168</v>
      </c>
      <c r="R49" s="38">
        <v>83.0</v>
      </c>
      <c r="S49" s="38">
        <v>63.0</v>
      </c>
      <c r="T49" s="44">
        <f t="shared" si="2"/>
        <v>0.7590361446</v>
      </c>
      <c r="U49" s="44"/>
      <c r="V49" s="44"/>
      <c r="W49" s="45" t="s">
        <v>159</v>
      </c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</row>
    <row r="50" hidden="1">
      <c r="A50" s="39"/>
      <c r="B50" s="39" t="s">
        <v>160</v>
      </c>
      <c r="C50" s="40">
        <v>45386.0</v>
      </c>
      <c r="D50" s="41">
        <v>2024.0</v>
      </c>
      <c r="E50" s="41">
        <v>4.0</v>
      </c>
      <c r="F50" s="38" t="s">
        <v>74</v>
      </c>
      <c r="G50" s="38"/>
      <c r="H50" s="38"/>
      <c r="I50" s="38"/>
      <c r="J50" s="38"/>
      <c r="K50" s="38"/>
      <c r="L50" s="38" t="s">
        <v>64</v>
      </c>
      <c r="M50" s="38"/>
      <c r="N50" s="42">
        <v>181.0</v>
      </c>
      <c r="O50" s="38"/>
      <c r="P50" s="42">
        <v>59.0</v>
      </c>
      <c r="Q50" s="43">
        <f t="shared" si="1"/>
        <v>0.3259668508</v>
      </c>
      <c r="R50" s="38">
        <v>56.0</v>
      </c>
      <c r="S50" s="38">
        <v>32.0</v>
      </c>
      <c r="T50" s="44">
        <f t="shared" si="2"/>
        <v>0.5714285714</v>
      </c>
      <c r="U50" s="44"/>
      <c r="V50" s="44"/>
      <c r="W50" s="45" t="s">
        <v>161</v>
      </c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</row>
    <row r="51" hidden="1">
      <c r="A51" s="48" t="s">
        <v>162</v>
      </c>
      <c r="B51" s="38" t="s">
        <v>163</v>
      </c>
      <c r="C51" s="40">
        <v>45393.0</v>
      </c>
      <c r="D51" s="41">
        <v>2024.0</v>
      </c>
      <c r="E51" s="41">
        <v>4.0</v>
      </c>
      <c r="F51" s="38" t="s">
        <v>74</v>
      </c>
      <c r="G51" s="38"/>
      <c r="H51" s="38"/>
      <c r="I51" s="38"/>
      <c r="J51" s="38"/>
      <c r="K51" s="38"/>
      <c r="L51" s="38" t="s">
        <v>64</v>
      </c>
      <c r="M51" s="38"/>
      <c r="N51" s="42">
        <v>237.0</v>
      </c>
      <c r="O51" s="38"/>
      <c r="P51" s="42">
        <v>97.0</v>
      </c>
      <c r="Q51" s="43">
        <f t="shared" si="1"/>
        <v>0.4092827004</v>
      </c>
      <c r="R51" s="38">
        <v>71.0</v>
      </c>
      <c r="S51" s="38">
        <v>44.0</v>
      </c>
      <c r="T51" s="44">
        <f t="shared" si="2"/>
        <v>0.6197183099</v>
      </c>
      <c r="U51" s="44"/>
      <c r="V51" s="44"/>
      <c r="W51" s="45" t="s">
        <v>164</v>
      </c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</row>
    <row r="52" hidden="1">
      <c r="A52" s="38"/>
      <c r="B52" s="38" t="s">
        <v>165</v>
      </c>
      <c r="C52" s="40">
        <v>45408.0</v>
      </c>
      <c r="D52" s="41">
        <v>2024.0</v>
      </c>
      <c r="E52" s="41">
        <v>4.0</v>
      </c>
      <c r="F52" s="38" t="s">
        <v>63</v>
      </c>
      <c r="G52" s="38"/>
      <c r="H52" s="38"/>
      <c r="I52" s="38"/>
      <c r="J52" s="38"/>
      <c r="K52" s="38"/>
      <c r="L52" s="38" t="s">
        <v>64</v>
      </c>
      <c r="M52" s="38"/>
      <c r="N52" s="42">
        <v>10.0</v>
      </c>
      <c r="O52" s="38"/>
      <c r="P52" s="42">
        <v>5.0</v>
      </c>
      <c r="Q52" s="43">
        <f t="shared" si="1"/>
        <v>0.5</v>
      </c>
      <c r="R52" s="38">
        <v>119.0</v>
      </c>
      <c r="S52" s="38">
        <v>77.0</v>
      </c>
      <c r="T52" s="44">
        <f t="shared" si="2"/>
        <v>0.6470588235</v>
      </c>
      <c r="U52" s="44"/>
      <c r="V52" s="44"/>
      <c r="W52" s="45" t="s">
        <v>166</v>
      </c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</row>
    <row r="53" hidden="1">
      <c r="A53" s="38"/>
      <c r="B53" s="38" t="s">
        <v>167</v>
      </c>
      <c r="C53" s="40">
        <v>45425.0</v>
      </c>
      <c r="D53" s="41">
        <v>2024.0</v>
      </c>
      <c r="E53" s="41">
        <v>5.0</v>
      </c>
      <c r="F53" s="38" t="s">
        <v>74</v>
      </c>
      <c r="G53" s="38"/>
      <c r="H53" s="38"/>
      <c r="I53" s="38"/>
      <c r="J53" s="38"/>
      <c r="K53" s="38"/>
      <c r="L53" s="38" t="s">
        <v>64</v>
      </c>
      <c r="M53" s="38"/>
      <c r="N53" s="42">
        <v>427.0</v>
      </c>
      <c r="O53" s="38"/>
      <c r="P53" s="42">
        <v>183.0</v>
      </c>
      <c r="Q53" s="43">
        <f t="shared" si="1"/>
        <v>0.4285714286</v>
      </c>
      <c r="R53" s="38">
        <v>63.0</v>
      </c>
      <c r="S53" s="38">
        <v>42.0</v>
      </c>
      <c r="T53" s="44">
        <f t="shared" si="2"/>
        <v>0.6666666667</v>
      </c>
      <c r="U53" s="44"/>
      <c r="V53" s="44"/>
      <c r="W53" s="45" t="s">
        <v>168</v>
      </c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</row>
    <row r="54" hidden="1">
      <c r="A54" s="38"/>
      <c r="B54" s="38" t="s">
        <v>169</v>
      </c>
      <c r="C54" s="40">
        <v>45439.0</v>
      </c>
      <c r="D54" s="41">
        <v>2024.0</v>
      </c>
      <c r="E54" s="41">
        <v>5.0</v>
      </c>
      <c r="F54" s="38" t="s">
        <v>74</v>
      </c>
      <c r="G54" s="38"/>
      <c r="H54" s="38"/>
      <c r="I54" s="38"/>
      <c r="J54" s="38"/>
      <c r="K54" s="38"/>
      <c r="L54" s="38" t="s">
        <v>64</v>
      </c>
      <c r="M54" s="38"/>
      <c r="N54" s="42">
        <v>152.0</v>
      </c>
      <c r="O54" s="38"/>
      <c r="P54" s="42">
        <v>43.0</v>
      </c>
      <c r="Q54" s="43">
        <f t="shared" si="1"/>
        <v>0.2828947368</v>
      </c>
      <c r="R54" s="38">
        <v>61.0</v>
      </c>
      <c r="S54" s="38">
        <v>37.0</v>
      </c>
      <c r="T54" s="44">
        <f t="shared" si="2"/>
        <v>0.606557377</v>
      </c>
      <c r="U54" s="44"/>
      <c r="V54" s="44"/>
      <c r="W54" s="45" t="s">
        <v>170</v>
      </c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</row>
    <row r="55" hidden="1">
      <c r="A55" s="38"/>
      <c r="B55" s="38" t="s">
        <v>171</v>
      </c>
      <c r="C55" s="40">
        <v>45461.0</v>
      </c>
      <c r="D55" s="41">
        <v>2024.0</v>
      </c>
      <c r="E55" s="41">
        <v>6.0</v>
      </c>
      <c r="F55" s="38" t="s">
        <v>74</v>
      </c>
      <c r="G55" s="38"/>
      <c r="H55" s="38"/>
      <c r="I55" s="38"/>
      <c r="J55" s="38"/>
      <c r="K55" s="38"/>
      <c r="L55" s="38" t="s">
        <v>64</v>
      </c>
      <c r="M55" s="38"/>
      <c r="N55" s="42">
        <v>195.0</v>
      </c>
      <c r="O55" s="38"/>
      <c r="P55" s="42">
        <v>60.0</v>
      </c>
      <c r="Q55" s="43">
        <f t="shared" si="1"/>
        <v>0.3076923077</v>
      </c>
      <c r="R55" s="38">
        <v>50.0</v>
      </c>
      <c r="S55" s="38">
        <v>27.0</v>
      </c>
      <c r="T55" s="44">
        <f t="shared" si="2"/>
        <v>0.54</v>
      </c>
      <c r="U55" s="44"/>
      <c r="V55" s="44"/>
      <c r="W55" s="45" t="s">
        <v>172</v>
      </c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</row>
    <row r="56" hidden="1">
      <c r="A56" s="49"/>
      <c r="B56" s="49" t="s">
        <v>173</v>
      </c>
      <c r="C56" s="50">
        <v>45471.0</v>
      </c>
      <c r="D56" s="41">
        <v>2024.0</v>
      </c>
      <c r="E56" s="41">
        <v>6.0</v>
      </c>
      <c r="F56" s="38" t="s">
        <v>74</v>
      </c>
      <c r="G56" s="51"/>
      <c r="H56" s="51"/>
      <c r="I56" s="51"/>
      <c r="J56" s="51"/>
      <c r="K56" s="51"/>
      <c r="L56" s="38" t="s">
        <v>64</v>
      </c>
      <c r="M56" s="51"/>
      <c r="N56" s="52">
        <v>212.0</v>
      </c>
      <c r="O56" s="51"/>
      <c r="P56" s="36">
        <v>58.0</v>
      </c>
      <c r="Q56" s="43">
        <f t="shared" si="1"/>
        <v>0.2735849057</v>
      </c>
      <c r="R56" s="51">
        <v>50.0</v>
      </c>
      <c r="S56" s="51">
        <v>32.0</v>
      </c>
      <c r="T56" s="44">
        <f t="shared" si="2"/>
        <v>0.64</v>
      </c>
      <c r="U56" s="44"/>
      <c r="V56" s="44"/>
      <c r="W56" s="53" t="s">
        <v>174</v>
      </c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</row>
    <row r="57" hidden="1">
      <c r="A57" s="49"/>
      <c r="B57" s="49" t="s">
        <v>175</v>
      </c>
      <c r="C57" s="50">
        <v>45489.0</v>
      </c>
      <c r="D57" s="41">
        <v>2024.0</v>
      </c>
      <c r="E57" s="41">
        <v>7.0</v>
      </c>
      <c r="F57" s="38" t="s">
        <v>74</v>
      </c>
      <c r="G57" s="51"/>
      <c r="H57" s="51"/>
      <c r="I57" s="51"/>
      <c r="J57" s="51"/>
      <c r="K57" s="51"/>
      <c r="L57" s="38" t="s">
        <v>64</v>
      </c>
      <c r="M57" s="51"/>
      <c r="N57" s="52">
        <v>168.0</v>
      </c>
      <c r="O57" s="51"/>
      <c r="P57" s="36">
        <v>54.0</v>
      </c>
      <c r="Q57" s="43">
        <f t="shared" si="1"/>
        <v>0.3214285714</v>
      </c>
      <c r="R57" s="54">
        <v>101.0</v>
      </c>
      <c r="S57" s="54">
        <v>41.0</v>
      </c>
      <c r="T57" s="44">
        <f t="shared" si="2"/>
        <v>0.4059405941</v>
      </c>
      <c r="U57" s="44"/>
      <c r="V57" s="44"/>
      <c r="W57" s="53" t="s">
        <v>176</v>
      </c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</row>
    <row r="58" hidden="1">
      <c r="A58" s="38"/>
      <c r="B58" s="38" t="s">
        <v>177</v>
      </c>
      <c r="C58" s="40">
        <v>45490.0</v>
      </c>
      <c r="D58" s="41">
        <v>2024.0</v>
      </c>
      <c r="E58" s="41">
        <v>7.0</v>
      </c>
      <c r="F58" s="38" t="s">
        <v>63</v>
      </c>
      <c r="G58" s="38"/>
      <c r="H58" s="38"/>
      <c r="I58" s="38" t="s">
        <v>178</v>
      </c>
      <c r="J58" s="38"/>
      <c r="K58" s="38"/>
      <c r="L58" s="38" t="s">
        <v>64</v>
      </c>
      <c r="M58" s="38"/>
      <c r="N58" s="42">
        <v>90.0</v>
      </c>
      <c r="O58" s="38"/>
      <c r="P58" s="42">
        <v>38.0</v>
      </c>
      <c r="Q58" s="43">
        <f t="shared" si="1"/>
        <v>0.4222222222</v>
      </c>
      <c r="R58" s="41">
        <v>82.0</v>
      </c>
      <c r="S58" s="41">
        <v>55.0</v>
      </c>
      <c r="T58" s="44">
        <f t="shared" si="2"/>
        <v>0.6707317073</v>
      </c>
      <c r="U58" s="44"/>
      <c r="V58" s="44"/>
      <c r="W58" s="45" t="s">
        <v>179</v>
      </c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</row>
    <row r="59" hidden="1">
      <c r="A59" s="38"/>
      <c r="B59" s="38" t="s">
        <v>180</v>
      </c>
      <c r="C59" s="40">
        <v>45497.0</v>
      </c>
      <c r="D59" s="41">
        <v>2024.0</v>
      </c>
      <c r="E59" s="41">
        <v>7.0</v>
      </c>
      <c r="F59" s="38" t="s">
        <v>63</v>
      </c>
      <c r="G59" s="38"/>
      <c r="H59" s="38"/>
      <c r="I59" s="38" t="s">
        <v>178</v>
      </c>
      <c r="J59" s="38"/>
      <c r="K59" s="38"/>
      <c r="L59" s="38" t="s">
        <v>64</v>
      </c>
      <c r="M59" s="38"/>
      <c r="N59" s="42">
        <v>348.0</v>
      </c>
      <c r="O59" s="38"/>
      <c r="P59" s="42">
        <v>157.0</v>
      </c>
      <c r="Q59" s="43">
        <f t="shared" si="1"/>
        <v>0.4511494253</v>
      </c>
      <c r="R59" s="41">
        <v>96.0</v>
      </c>
      <c r="S59" s="41">
        <v>65.0</v>
      </c>
      <c r="T59" s="44">
        <f t="shared" si="2"/>
        <v>0.6770833333</v>
      </c>
      <c r="U59" s="44"/>
      <c r="V59" s="44"/>
      <c r="W59" s="45" t="s">
        <v>181</v>
      </c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</row>
    <row r="60" hidden="1">
      <c r="A60" s="38"/>
      <c r="B60" s="38" t="s">
        <v>182</v>
      </c>
      <c r="C60" s="40">
        <v>45502.0</v>
      </c>
      <c r="D60" s="41">
        <v>2024.0</v>
      </c>
      <c r="E60" s="41">
        <v>7.0</v>
      </c>
      <c r="F60" s="38" t="s">
        <v>63</v>
      </c>
      <c r="G60" s="38"/>
      <c r="H60" s="38"/>
      <c r="I60" s="38" t="s">
        <v>178</v>
      </c>
      <c r="J60" s="38"/>
      <c r="K60" s="38"/>
      <c r="L60" s="38" t="s">
        <v>64</v>
      </c>
      <c r="M60" s="38"/>
      <c r="N60" s="42">
        <v>991.0</v>
      </c>
      <c r="O60" s="38"/>
      <c r="P60" s="42">
        <v>479.0</v>
      </c>
      <c r="Q60" s="43">
        <f t="shared" si="1"/>
        <v>0.4833501514</v>
      </c>
      <c r="R60" s="41">
        <v>112.0</v>
      </c>
      <c r="S60" s="41">
        <v>60.0</v>
      </c>
      <c r="T60" s="44">
        <f t="shared" si="2"/>
        <v>0.5357142857</v>
      </c>
      <c r="U60" s="44"/>
      <c r="V60" s="44"/>
      <c r="W60" s="45" t="s">
        <v>183</v>
      </c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</row>
    <row r="61" hidden="1">
      <c r="A61" s="47"/>
      <c r="B61" s="47" t="s">
        <v>184</v>
      </c>
      <c r="C61" s="40">
        <v>45541.0</v>
      </c>
      <c r="D61" s="41">
        <v>2024.0</v>
      </c>
      <c r="E61" s="41">
        <v>9.0</v>
      </c>
      <c r="F61" s="38" t="s">
        <v>70</v>
      </c>
      <c r="G61" s="38"/>
      <c r="H61" s="38"/>
      <c r="I61" s="38" t="s">
        <v>71</v>
      </c>
      <c r="J61" s="38"/>
      <c r="K61" s="38"/>
      <c r="L61" s="38" t="s">
        <v>64</v>
      </c>
      <c r="M61" s="38"/>
      <c r="N61" s="42">
        <v>2607.0</v>
      </c>
      <c r="O61" s="38"/>
      <c r="P61" s="42">
        <v>1240.0</v>
      </c>
      <c r="Q61" s="43">
        <f t="shared" si="1"/>
        <v>0.475642501</v>
      </c>
      <c r="R61" s="41">
        <v>387.0</v>
      </c>
      <c r="S61" s="41">
        <v>196.0</v>
      </c>
      <c r="T61" s="44">
        <f t="shared" si="2"/>
        <v>0.5064599483</v>
      </c>
      <c r="U61" s="44"/>
      <c r="V61" s="44"/>
      <c r="W61" s="45" t="s">
        <v>185</v>
      </c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</row>
    <row r="62" hidden="1">
      <c r="A62" s="38"/>
      <c r="B62" s="38" t="s">
        <v>186</v>
      </c>
      <c r="C62" s="40">
        <v>45544.0</v>
      </c>
      <c r="D62" s="41">
        <v>2024.0</v>
      </c>
      <c r="E62" s="41">
        <v>9.0</v>
      </c>
      <c r="F62" s="38" t="s">
        <v>63</v>
      </c>
      <c r="G62" s="38"/>
      <c r="H62" s="38"/>
      <c r="I62" s="38"/>
      <c r="J62" s="38"/>
      <c r="K62" s="38"/>
      <c r="L62" s="38" t="s">
        <v>64</v>
      </c>
      <c r="M62" s="38"/>
      <c r="N62" s="42">
        <v>1153.0</v>
      </c>
      <c r="O62" s="38"/>
      <c r="P62" s="42">
        <v>432.0</v>
      </c>
      <c r="Q62" s="43">
        <f t="shared" si="1"/>
        <v>0.3746747615</v>
      </c>
      <c r="R62" s="41">
        <v>104.0</v>
      </c>
      <c r="S62" s="41">
        <v>74.0</v>
      </c>
      <c r="T62" s="44">
        <f t="shared" si="2"/>
        <v>0.7115384615</v>
      </c>
      <c r="U62" s="44"/>
      <c r="V62" s="44"/>
      <c r="W62" s="45" t="s">
        <v>187</v>
      </c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</row>
    <row r="63" hidden="1">
      <c r="A63" s="38"/>
      <c r="B63" s="38" t="s">
        <v>188</v>
      </c>
      <c r="C63" s="40">
        <v>45559.0</v>
      </c>
      <c r="D63" s="41">
        <v>2024.0</v>
      </c>
      <c r="E63" s="41">
        <v>9.0</v>
      </c>
      <c r="F63" s="38" t="s">
        <v>63</v>
      </c>
      <c r="G63" s="38"/>
      <c r="H63" s="38"/>
      <c r="I63" s="38"/>
      <c r="J63" s="38"/>
      <c r="K63" s="38"/>
      <c r="L63" s="38" t="s">
        <v>64</v>
      </c>
      <c r="M63" s="38"/>
      <c r="N63" s="42">
        <v>210.0</v>
      </c>
      <c r="O63" s="38"/>
      <c r="P63" s="42">
        <v>68.0</v>
      </c>
      <c r="Q63" s="43">
        <f t="shared" si="1"/>
        <v>0.3238095238</v>
      </c>
      <c r="R63" s="41">
        <v>87.0</v>
      </c>
      <c r="S63" s="41">
        <v>54.0</v>
      </c>
      <c r="T63" s="44">
        <f t="shared" si="2"/>
        <v>0.6206896552</v>
      </c>
      <c r="U63" s="44"/>
      <c r="V63" s="44"/>
      <c r="W63" s="45" t="s">
        <v>189</v>
      </c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</row>
    <row r="64" hidden="1">
      <c r="A64" s="39"/>
      <c r="B64" s="39" t="s">
        <v>190</v>
      </c>
      <c r="C64" s="40">
        <v>45565.0</v>
      </c>
      <c r="D64" s="41">
        <v>2024.0</v>
      </c>
      <c r="E64" s="41">
        <v>9.0</v>
      </c>
      <c r="F64" s="38" t="s">
        <v>74</v>
      </c>
      <c r="G64" s="38"/>
      <c r="H64" s="38"/>
      <c r="I64" s="38"/>
      <c r="J64" s="38"/>
      <c r="K64" s="38"/>
      <c r="L64" s="38" t="s">
        <v>64</v>
      </c>
      <c r="M64" s="38"/>
      <c r="N64" s="42">
        <v>339.0</v>
      </c>
      <c r="O64" s="38"/>
      <c r="P64" s="42">
        <v>157.0</v>
      </c>
      <c r="Q64" s="43">
        <f t="shared" si="1"/>
        <v>0.4631268437</v>
      </c>
      <c r="R64" s="41">
        <v>91.0</v>
      </c>
      <c r="S64" s="41">
        <v>67.0</v>
      </c>
      <c r="T64" s="44">
        <f t="shared" si="2"/>
        <v>0.7362637363</v>
      </c>
      <c r="U64" s="44"/>
      <c r="V64" s="44"/>
      <c r="W64" s="45" t="s">
        <v>191</v>
      </c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</row>
    <row r="65" hidden="1">
      <c r="A65" s="47"/>
      <c r="B65" s="47" t="s">
        <v>192</v>
      </c>
      <c r="C65" s="46">
        <v>45568.0</v>
      </c>
      <c r="D65" s="41">
        <v>2024.0</v>
      </c>
      <c r="E65" s="41">
        <v>10.0</v>
      </c>
      <c r="F65" s="38" t="s">
        <v>70</v>
      </c>
      <c r="G65" s="38"/>
      <c r="H65" s="38"/>
      <c r="I65" s="38" t="s">
        <v>71</v>
      </c>
      <c r="J65" s="38"/>
      <c r="K65" s="38"/>
      <c r="L65" s="38" t="s">
        <v>64</v>
      </c>
      <c r="M65" s="38"/>
      <c r="N65" s="42">
        <v>2747.0</v>
      </c>
      <c r="O65" s="38"/>
      <c r="P65" s="42">
        <v>742.0</v>
      </c>
      <c r="Q65" s="43">
        <f t="shared" si="1"/>
        <v>0.2701128504</v>
      </c>
      <c r="R65" s="41">
        <v>360.0</v>
      </c>
      <c r="S65" s="41">
        <v>166.0</v>
      </c>
      <c r="T65" s="44">
        <f t="shared" si="2"/>
        <v>0.4611111111</v>
      </c>
      <c r="U65" s="44"/>
      <c r="V65" s="44"/>
      <c r="W65" s="45" t="s">
        <v>193</v>
      </c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</row>
    <row r="66" hidden="1">
      <c r="A66" s="38"/>
      <c r="B66" s="38" t="s">
        <v>194</v>
      </c>
      <c r="C66" s="46">
        <v>45573.0</v>
      </c>
      <c r="D66" s="41">
        <v>2024.0</v>
      </c>
      <c r="E66" s="41">
        <v>10.0</v>
      </c>
      <c r="F66" s="38" t="s">
        <v>63</v>
      </c>
      <c r="G66" s="38"/>
      <c r="H66" s="38"/>
      <c r="I66" s="38"/>
      <c r="J66" s="38"/>
      <c r="K66" s="38"/>
      <c r="L66" s="38" t="s">
        <v>64</v>
      </c>
      <c r="M66" s="38"/>
      <c r="N66" s="42">
        <v>219.0</v>
      </c>
      <c r="O66" s="38"/>
      <c r="P66" s="42">
        <v>60.0</v>
      </c>
      <c r="Q66" s="43">
        <f t="shared" si="1"/>
        <v>0.2739726027</v>
      </c>
      <c r="R66" s="41">
        <v>108.0</v>
      </c>
      <c r="S66" s="41">
        <v>65.0</v>
      </c>
      <c r="T66" s="44">
        <f t="shared" si="2"/>
        <v>0.6018518519</v>
      </c>
      <c r="U66" s="44"/>
      <c r="V66" s="44"/>
      <c r="W66" s="45" t="s">
        <v>195</v>
      </c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</row>
    <row r="67" hidden="1">
      <c r="A67" s="47"/>
      <c r="B67" s="47" t="s">
        <v>196</v>
      </c>
      <c r="C67" s="46">
        <v>45587.0</v>
      </c>
      <c r="D67" s="41">
        <v>2024.0</v>
      </c>
      <c r="E67" s="41">
        <v>10.0</v>
      </c>
      <c r="F67" s="38" t="s">
        <v>70</v>
      </c>
      <c r="G67" s="38"/>
      <c r="H67" s="38"/>
      <c r="I67" s="38" t="s">
        <v>71</v>
      </c>
      <c r="J67" s="38"/>
      <c r="K67" s="38"/>
      <c r="L67" s="38" t="s">
        <v>64</v>
      </c>
      <c r="M67" s="38"/>
      <c r="N67" s="42">
        <v>2868.0</v>
      </c>
      <c r="O67" s="38"/>
      <c r="P67" s="42">
        <v>742.0</v>
      </c>
      <c r="Q67" s="43">
        <f t="shared" si="1"/>
        <v>0.2587168759</v>
      </c>
      <c r="R67" s="41">
        <v>350.0</v>
      </c>
      <c r="S67" s="41">
        <v>154.0</v>
      </c>
      <c r="T67" s="44">
        <f t="shared" si="2"/>
        <v>0.44</v>
      </c>
      <c r="U67" s="44"/>
      <c r="V67" s="44"/>
      <c r="W67" s="45" t="s">
        <v>197</v>
      </c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</row>
    <row r="68" hidden="1">
      <c r="A68" s="39"/>
      <c r="B68" s="39" t="s">
        <v>198</v>
      </c>
      <c r="C68" s="46">
        <v>45593.0</v>
      </c>
      <c r="D68" s="41">
        <v>2024.0</v>
      </c>
      <c r="E68" s="41">
        <v>10.0</v>
      </c>
      <c r="F68" s="38" t="s">
        <v>74</v>
      </c>
      <c r="G68" s="38"/>
      <c r="H68" s="38"/>
      <c r="I68" s="38"/>
      <c r="J68" s="38"/>
      <c r="K68" s="38"/>
      <c r="L68" s="38" t="s">
        <v>64</v>
      </c>
      <c r="M68" s="38"/>
      <c r="N68" s="42">
        <v>712.0</v>
      </c>
      <c r="O68" s="38"/>
      <c r="P68" s="42">
        <v>276.0</v>
      </c>
      <c r="Q68" s="43">
        <f t="shared" si="1"/>
        <v>0.3876404494</v>
      </c>
      <c r="R68" s="41">
        <v>61.0</v>
      </c>
      <c r="S68" s="41">
        <v>42.0</v>
      </c>
      <c r="T68" s="44">
        <f t="shared" si="2"/>
        <v>0.6885245902</v>
      </c>
      <c r="U68" s="44"/>
      <c r="V68" s="44"/>
      <c r="W68" s="45" t="s">
        <v>199</v>
      </c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</row>
    <row r="69" hidden="1">
      <c r="A69" s="39"/>
      <c r="B69" s="39" t="s">
        <v>200</v>
      </c>
      <c r="C69" s="46">
        <v>45594.0</v>
      </c>
      <c r="D69" s="41">
        <v>2024.0</v>
      </c>
      <c r="E69" s="41">
        <v>10.0</v>
      </c>
      <c r="F69" s="38" t="s">
        <v>74</v>
      </c>
      <c r="G69" s="38"/>
      <c r="H69" s="38"/>
      <c r="I69" s="38"/>
      <c r="J69" s="38"/>
      <c r="K69" s="38"/>
      <c r="L69" s="38" t="s">
        <v>64</v>
      </c>
      <c r="M69" s="38"/>
      <c r="N69" s="42">
        <v>552.0</v>
      </c>
      <c r="O69" s="38"/>
      <c r="P69" s="42">
        <v>268.0</v>
      </c>
      <c r="Q69" s="43">
        <f t="shared" si="1"/>
        <v>0.4855072464</v>
      </c>
      <c r="R69" s="41">
        <v>93.0</v>
      </c>
      <c r="S69" s="41">
        <v>62.0</v>
      </c>
      <c r="T69" s="44">
        <f t="shared" si="2"/>
        <v>0.6666666667</v>
      </c>
      <c r="U69" s="44"/>
      <c r="V69" s="44"/>
      <c r="W69" s="45" t="s">
        <v>201</v>
      </c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</row>
    <row r="70" hidden="1">
      <c r="A70" s="38"/>
      <c r="B70" s="38" t="s">
        <v>202</v>
      </c>
      <c r="C70" s="46">
        <v>45600.0</v>
      </c>
      <c r="D70" s="41">
        <v>2024.0</v>
      </c>
      <c r="E70" s="41">
        <v>11.0</v>
      </c>
      <c r="F70" s="38" t="s">
        <v>63</v>
      </c>
      <c r="G70" s="38"/>
      <c r="H70" s="38"/>
      <c r="I70" s="38"/>
      <c r="J70" s="38"/>
      <c r="K70" s="38"/>
      <c r="L70" s="38" t="s">
        <v>64</v>
      </c>
      <c r="M70" s="38"/>
      <c r="N70" s="42">
        <v>671.0</v>
      </c>
      <c r="O70" s="38"/>
      <c r="P70" s="42">
        <v>312.0</v>
      </c>
      <c r="Q70" s="43">
        <f t="shared" si="1"/>
        <v>0.4649776453</v>
      </c>
      <c r="R70" s="41">
        <v>103.0</v>
      </c>
      <c r="S70" s="41">
        <v>74.0</v>
      </c>
      <c r="T70" s="44">
        <f t="shared" si="2"/>
        <v>0.7184466019</v>
      </c>
      <c r="U70" s="44"/>
      <c r="V70" s="44"/>
      <c r="W70" s="45" t="s">
        <v>203</v>
      </c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</row>
    <row r="71" hidden="1">
      <c r="A71" s="39"/>
      <c r="B71" s="39" t="s">
        <v>204</v>
      </c>
      <c r="C71" s="46">
        <v>45602.0</v>
      </c>
      <c r="D71" s="41">
        <v>2024.0</v>
      </c>
      <c r="E71" s="41">
        <v>11.0</v>
      </c>
      <c r="F71" s="38" t="s">
        <v>74</v>
      </c>
      <c r="G71" s="38"/>
      <c r="H71" s="38"/>
      <c r="I71" s="38"/>
      <c r="J71" s="38"/>
      <c r="K71" s="38"/>
      <c r="L71" s="38" t="s">
        <v>64</v>
      </c>
      <c r="M71" s="38"/>
      <c r="N71" s="42">
        <v>693.0</v>
      </c>
      <c r="O71" s="38"/>
      <c r="P71" s="42">
        <v>300.0</v>
      </c>
      <c r="Q71" s="43">
        <f t="shared" si="1"/>
        <v>0.4329004329</v>
      </c>
      <c r="R71" s="41">
        <v>90.0</v>
      </c>
      <c r="S71" s="41">
        <v>63.0</v>
      </c>
      <c r="T71" s="44">
        <f t="shared" si="2"/>
        <v>0.7</v>
      </c>
      <c r="U71" s="44"/>
      <c r="V71" s="44"/>
      <c r="W71" s="45" t="s">
        <v>205</v>
      </c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</row>
    <row r="72" hidden="1">
      <c r="A72" s="38"/>
      <c r="B72" s="38" t="s">
        <v>206</v>
      </c>
      <c r="C72" s="46">
        <v>45608.0</v>
      </c>
      <c r="D72" s="41">
        <v>2024.0</v>
      </c>
      <c r="E72" s="41">
        <v>11.0</v>
      </c>
      <c r="F72" s="38" t="s">
        <v>74</v>
      </c>
      <c r="G72" s="38"/>
      <c r="H72" s="38"/>
      <c r="I72" s="38"/>
      <c r="J72" s="38"/>
      <c r="K72" s="38"/>
      <c r="L72" s="38" t="s">
        <v>64</v>
      </c>
      <c r="M72" s="38"/>
      <c r="N72" s="42">
        <v>531.0</v>
      </c>
      <c r="O72" s="38"/>
      <c r="P72" s="42">
        <v>262.0</v>
      </c>
      <c r="Q72" s="43">
        <f t="shared" si="1"/>
        <v>0.4934086629</v>
      </c>
      <c r="R72" s="41">
        <v>94.0</v>
      </c>
      <c r="S72" s="41">
        <v>68.0</v>
      </c>
      <c r="T72" s="44">
        <f t="shared" si="2"/>
        <v>0.7234042553</v>
      </c>
      <c r="U72" s="44"/>
      <c r="V72" s="44"/>
      <c r="W72" s="45" t="s">
        <v>207</v>
      </c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</row>
    <row r="73" hidden="1">
      <c r="A73" s="38"/>
      <c r="B73" s="38" t="s">
        <v>208</v>
      </c>
      <c r="C73" s="46">
        <v>45614.0</v>
      </c>
      <c r="D73" s="41">
        <v>2024.0</v>
      </c>
      <c r="E73" s="41">
        <v>11.0</v>
      </c>
      <c r="F73" s="38" t="s">
        <v>63</v>
      </c>
      <c r="G73" s="38"/>
      <c r="H73" s="38"/>
      <c r="I73" s="38"/>
      <c r="J73" s="38"/>
      <c r="K73" s="38"/>
      <c r="L73" s="38" t="s">
        <v>64</v>
      </c>
      <c r="M73" s="38"/>
      <c r="N73" s="42">
        <v>386.0</v>
      </c>
      <c r="O73" s="38"/>
      <c r="P73" s="42">
        <v>155.0</v>
      </c>
      <c r="Q73" s="43">
        <f t="shared" si="1"/>
        <v>0.4015544041</v>
      </c>
      <c r="R73" s="41">
        <v>106.0</v>
      </c>
      <c r="S73" s="41">
        <v>67.0</v>
      </c>
      <c r="T73" s="44">
        <f t="shared" si="2"/>
        <v>0.6320754717</v>
      </c>
      <c r="U73" s="44"/>
      <c r="V73" s="44"/>
      <c r="W73" s="45" t="s">
        <v>209</v>
      </c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</row>
    <row r="74" hidden="1">
      <c r="A74" s="38"/>
      <c r="B74" s="38" t="s">
        <v>210</v>
      </c>
      <c r="C74" s="46">
        <v>45638.0</v>
      </c>
      <c r="D74" s="41">
        <v>2024.0</v>
      </c>
      <c r="E74" s="41">
        <v>12.0</v>
      </c>
      <c r="F74" s="38" t="s">
        <v>63</v>
      </c>
      <c r="G74" s="38"/>
      <c r="H74" s="38"/>
      <c r="I74" s="38"/>
      <c r="J74" s="38"/>
      <c r="K74" s="38"/>
      <c r="L74" s="38" t="s">
        <v>64</v>
      </c>
      <c r="M74" s="38"/>
      <c r="N74" s="42">
        <v>155.0</v>
      </c>
      <c r="O74" s="38"/>
      <c r="P74" s="42">
        <v>45.0</v>
      </c>
      <c r="Q74" s="43">
        <f t="shared" si="1"/>
        <v>0.2903225806</v>
      </c>
      <c r="R74" s="41">
        <v>90.0</v>
      </c>
      <c r="S74" s="41">
        <v>57.0</v>
      </c>
      <c r="T74" s="44">
        <f t="shared" si="2"/>
        <v>0.6333333333</v>
      </c>
      <c r="U74" s="44"/>
      <c r="V74" s="44"/>
      <c r="W74" s="45" t="s">
        <v>211</v>
      </c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</row>
    <row r="75" hidden="1">
      <c r="A75" s="38"/>
      <c r="B75" s="38" t="s">
        <v>212</v>
      </c>
      <c r="C75" s="40">
        <v>45712.0</v>
      </c>
      <c r="D75" s="41">
        <v>2025.0</v>
      </c>
      <c r="E75" s="41">
        <v>2.0</v>
      </c>
      <c r="F75" s="38" t="s">
        <v>74</v>
      </c>
      <c r="G75" s="38"/>
      <c r="H75" s="38"/>
      <c r="I75" s="38"/>
      <c r="J75" s="38"/>
      <c r="K75" s="38"/>
      <c r="L75" s="38" t="s">
        <v>64</v>
      </c>
      <c r="M75" s="38"/>
      <c r="N75" s="42">
        <v>434.0</v>
      </c>
      <c r="O75" s="38"/>
      <c r="P75" s="42">
        <v>166.0</v>
      </c>
      <c r="Q75" s="43">
        <f t="shared" si="1"/>
        <v>0.3824884793</v>
      </c>
      <c r="R75" s="41">
        <v>93.0</v>
      </c>
      <c r="S75" s="41">
        <v>51.0</v>
      </c>
      <c r="T75" s="44">
        <f t="shared" si="2"/>
        <v>0.5483870968</v>
      </c>
      <c r="U75" s="44"/>
      <c r="V75" s="44"/>
      <c r="W75" s="45" t="s">
        <v>213</v>
      </c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</row>
    <row r="76" hidden="1">
      <c r="A76" s="47"/>
      <c r="B76" s="47" t="s">
        <v>214</v>
      </c>
      <c r="C76" s="40">
        <v>45722.0</v>
      </c>
      <c r="D76" s="41">
        <v>2025.0</v>
      </c>
      <c r="E76" s="41">
        <v>3.0</v>
      </c>
      <c r="F76" s="38" t="s">
        <v>70</v>
      </c>
      <c r="G76" s="38"/>
      <c r="H76" s="38"/>
      <c r="I76" s="38" t="s">
        <v>71</v>
      </c>
      <c r="J76" s="38"/>
      <c r="K76" s="38"/>
      <c r="L76" s="38" t="s">
        <v>64</v>
      </c>
      <c r="M76" s="38"/>
      <c r="N76" s="42">
        <v>2089.0</v>
      </c>
      <c r="O76" s="38"/>
      <c r="P76" s="42">
        <v>940.0</v>
      </c>
      <c r="Q76" s="43">
        <f t="shared" si="1"/>
        <v>0.4499760651</v>
      </c>
      <c r="R76" s="41">
        <v>378.0</v>
      </c>
      <c r="S76" s="41">
        <v>165.0</v>
      </c>
      <c r="T76" s="44">
        <f t="shared" si="2"/>
        <v>0.4365079365</v>
      </c>
      <c r="U76" s="55">
        <v>394.0</v>
      </c>
      <c r="V76" s="56">
        <f>U76/P76</f>
        <v>0.4191489362</v>
      </c>
      <c r="W76" s="45" t="s">
        <v>215</v>
      </c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</row>
    <row r="77" hidden="1">
      <c r="A77" s="38"/>
      <c r="B77" s="38" t="s">
        <v>216</v>
      </c>
      <c r="C77" s="40">
        <v>45723.0</v>
      </c>
      <c r="D77" s="41">
        <v>2025.0</v>
      </c>
      <c r="E77" s="41">
        <v>3.0</v>
      </c>
      <c r="F77" s="38" t="s">
        <v>74</v>
      </c>
      <c r="G77" s="38"/>
      <c r="H77" s="38"/>
      <c r="I77" s="38"/>
      <c r="J77" s="38"/>
      <c r="K77" s="38"/>
      <c r="L77" s="38" t="s">
        <v>64</v>
      </c>
      <c r="M77" s="38"/>
      <c r="N77" s="42">
        <v>554.0</v>
      </c>
      <c r="O77" s="38"/>
      <c r="P77" s="42">
        <v>185.0</v>
      </c>
      <c r="Q77" s="43">
        <f t="shared" si="1"/>
        <v>0.3339350181</v>
      </c>
      <c r="R77" s="41">
        <v>74.0</v>
      </c>
      <c r="S77" s="41">
        <v>42.0</v>
      </c>
      <c r="T77" s="44">
        <f t="shared" si="2"/>
        <v>0.5675675676</v>
      </c>
      <c r="U77" s="44"/>
      <c r="V77" s="44"/>
      <c r="W77" s="45" t="s">
        <v>217</v>
      </c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</row>
    <row r="78" hidden="1">
      <c r="A78" s="38"/>
      <c r="B78" s="38" t="s">
        <v>218</v>
      </c>
      <c r="C78" s="40">
        <v>45730.0</v>
      </c>
      <c r="D78" s="41">
        <v>2025.0</v>
      </c>
      <c r="E78" s="41">
        <v>3.0</v>
      </c>
      <c r="F78" s="38" t="s">
        <v>63</v>
      </c>
      <c r="G78" s="38"/>
      <c r="H78" s="38"/>
      <c r="I78" s="38"/>
      <c r="J78" s="38"/>
      <c r="K78" s="38"/>
      <c r="L78" s="38" t="s">
        <v>64</v>
      </c>
      <c r="M78" s="38"/>
      <c r="N78" s="42">
        <v>462.0</v>
      </c>
      <c r="O78" s="38"/>
      <c r="P78" s="42">
        <v>163.0</v>
      </c>
      <c r="Q78" s="43">
        <f t="shared" si="1"/>
        <v>0.3528138528</v>
      </c>
      <c r="R78" s="41">
        <v>463.0</v>
      </c>
      <c r="S78" s="41">
        <v>180.0</v>
      </c>
      <c r="T78" s="44">
        <f t="shared" si="2"/>
        <v>0.3887688985</v>
      </c>
      <c r="U78" s="44"/>
      <c r="V78" s="44"/>
      <c r="W78" s="45" t="s">
        <v>219</v>
      </c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</row>
    <row r="79" hidden="1">
      <c r="A79" s="38"/>
      <c r="B79" s="38" t="s">
        <v>220</v>
      </c>
      <c r="C79" s="40">
        <v>45730.0</v>
      </c>
      <c r="D79" s="41">
        <v>2025.0</v>
      </c>
      <c r="E79" s="41">
        <v>3.0</v>
      </c>
      <c r="F79" s="38" t="s">
        <v>63</v>
      </c>
      <c r="G79" s="38"/>
      <c r="H79" s="38"/>
      <c r="I79" s="38"/>
      <c r="J79" s="38"/>
      <c r="K79" s="38"/>
      <c r="L79" s="38" t="s">
        <v>64</v>
      </c>
      <c r="M79" s="38"/>
      <c r="N79" s="42">
        <v>209.0</v>
      </c>
      <c r="O79" s="38"/>
      <c r="P79" s="42">
        <v>71.0</v>
      </c>
      <c r="Q79" s="43">
        <f t="shared" si="1"/>
        <v>0.3397129187</v>
      </c>
      <c r="R79" s="41">
        <v>463.0</v>
      </c>
      <c r="S79" s="41">
        <v>195.0</v>
      </c>
      <c r="T79" s="44">
        <f t="shared" si="2"/>
        <v>0.4211663067</v>
      </c>
      <c r="U79" s="44"/>
      <c r="V79" s="44"/>
      <c r="W79" s="45" t="s">
        <v>221</v>
      </c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</row>
    <row r="80" hidden="1">
      <c r="A80" s="48" t="s">
        <v>162</v>
      </c>
      <c r="B80" s="38" t="s">
        <v>222</v>
      </c>
      <c r="C80" s="40">
        <v>45737.0</v>
      </c>
      <c r="D80" s="41">
        <v>2025.0</v>
      </c>
      <c r="E80" s="41">
        <v>3.0</v>
      </c>
      <c r="F80" s="38" t="s">
        <v>74</v>
      </c>
      <c r="G80" s="38"/>
      <c r="H80" s="38"/>
      <c r="I80" s="48" t="s">
        <v>7</v>
      </c>
      <c r="J80" s="38"/>
      <c r="K80" s="38"/>
      <c r="L80" s="38" t="s">
        <v>64</v>
      </c>
      <c r="M80" s="38"/>
      <c r="N80" s="42">
        <v>541.0</v>
      </c>
      <c r="O80" s="38"/>
      <c r="P80" s="42">
        <v>145.0</v>
      </c>
      <c r="Q80" s="43">
        <f t="shared" si="1"/>
        <v>0.2680221811</v>
      </c>
      <c r="R80" s="41">
        <v>97.0</v>
      </c>
      <c r="S80" s="41">
        <v>52.0</v>
      </c>
      <c r="T80" s="44">
        <f t="shared" si="2"/>
        <v>0.5360824742</v>
      </c>
      <c r="U80" s="44"/>
      <c r="V80" s="44"/>
      <c r="W80" s="45" t="s">
        <v>223</v>
      </c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</row>
    <row r="81" hidden="1">
      <c r="A81" s="38"/>
      <c r="B81" s="38" t="s">
        <v>224</v>
      </c>
      <c r="C81" s="40">
        <v>45741.0</v>
      </c>
      <c r="D81" s="41">
        <v>2025.0</v>
      </c>
      <c r="E81" s="41">
        <v>3.0</v>
      </c>
      <c r="F81" s="38" t="s">
        <v>74</v>
      </c>
      <c r="G81" s="38"/>
      <c r="H81" s="38"/>
      <c r="I81" s="38"/>
      <c r="J81" s="38"/>
      <c r="K81" s="38"/>
      <c r="L81" s="38" t="s">
        <v>64</v>
      </c>
      <c r="M81" s="38"/>
      <c r="N81" s="42">
        <v>450.0</v>
      </c>
      <c r="O81" s="38"/>
      <c r="P81" s="42">
        <v>120.0</v>
      </c>
      <c r="Q81" s="43">
        <f t="shared" si="1"/>
        <v>0.2666666667</v>
      </c>
      <c r="R81" s="41">
        <v>86.0</v>
      </c>
      <c r="S81" s="41">
        <v>51.0</v>
      </c>
      <c r="T81" s="44">
        <f t="shared" si="2"/>
        <v>0.5930232558</v>
      </c>
      <c r="U81" s="44"/>
      <c r="V81" s="44"/>
      <c r="W81" s="45" t="s">
        <v>225</v>
      </c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</row>
    <row r="82" hidden="1">
      <c r="A82" s="48" t="s">
        <v>162</v>
      </c>
      <c r="B82" s="38" t="s">
        <v>226</v>
      </c>
      <c r="C82" s="40">
        <v>45751.0</v>
      </c>
      <c r="D82" s="41">
        <v>2025.0</v>
      </c>
      <c r="E82" s="41">
        <v>4.0</v>
      </c>
      <c r="F82" s="38" t="s">
        <v>74</v>
      </c>
      <c r="G82" s="38"/>
      <c r="H82" s="38"/>
      <c r="I82" s="48" t="s">
        <v>7</v>
      </c>
      <c r="J82" s="38"/>
      <c r="K82" s="38"/>
      <c r="L82" s="38" t="s">
        <v>64</v>
      </c>
      <c r="M82" s="38"/>
      <c r="N82" s="42">
        <v>394.0</v>
      </c>
      <c r="O82" s="38"/>
      <c r="P82" s="42">
        <v>101.0</v>
      </c>
      <c r="Q82" s="43">
        <f t="shared" si="1"/>
        <v>0.2563451777</v>
      </c>
      <c r="R82" s="41">
        <v>82.0</v>
      </c>
      <c r="S82" s="41">
        <v>47.0</v>
      </c>
      <c r="T82" s="44">
        <f t="shared" si="2"/>
        <v>0.5731707317</v>
      </c>
      <c r="U82" s="44"/>
      <c r="V82" s="44"/>
      <c r="W82" s="45" t="s">
        <v>227</v>
      </c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</row>
    <row r="83" hidden="1">
      <c r="A83" s="38"/>
      <c r="B83" s="38" t="s">
        <v>228</v>
      </c>
      <c r="C83" s="40">
        <v>45756.0</v>
      </c>
      <c r="D83" s="41">
        <v>2025.0</v>
      </c>
      <c r="E83" s="41">
        <v>9.0</v>
      </c>
      <c r="F83" s="38" t="s">
        <v>74</v>
      </c>
      <c r="G83" s="38"/>
      <c r="H83" s="38"/>
      <c r="I83" s="38"/>
      <c r="J83" s="38"/>
      <c r="K83" s="38"/>
      <c r="L83" s="38" t="s">
        <v>64</v>
      </c>
      <c r="M83" s="38"/>
      <c r="N83" s="42">
        <v>264.0</v>
      </c>
      <c r="O83" s="38"/>
      <c r="P83" s="42">
        <v>407.0</v>
      </c>
      <c r="Q83" s="43">
        <f t="shared" si="1"/>
        <v>1.541666667</v>
      </c>
      <c r="R83" s="41">
        <v>85.0</v>
      </c>
      <c r="S83" s="41">
        <v>56.0</v>
      </c>
      <c r="T83" s="44">
        <f t="shared" si="2"/>
        <v>0.6588235294</v>
      </c>
      <c r="U83" s="44"/>
      <c r="V83" s="44"/>
      <c r="W83" s="45" t="s">
        <v>229</v>
      </c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</row>
    <row r="84" hidden="1">
      <c r="A84" s="38"/>
      <c r="B84" s="38" t="s">
        <v>230</v>
      </c>
      <c r="C84" s="40">
        <v>45761.0</v>
      </c>
      <c r="D84" s="41">
        <v>2025.0</v>
      </c>
      <c r="E84" s="41">
        <v>4.0</v>
      </c>
      <c r="F84" s="38" t="s">
        <v>63</v>
      </c>
      <c r="G84" s="38"/>
      <c r="H84" s="38"/>
      <c r="I84" s="38"/>
      <c r="J84" s="38"/>
      <c r="K84" s="38"/>
      <c r="L84" s="38" t="s">
        <v>64</v>
      </c>
      <c r="M84" s="38"/>
      <c r="N84" s="42">
        <v>453.0</v>
      </c>
      <c r="O84" s="38"/>
      <c r="P84" s="42">
        <v>190.0</v>
      </c>
      <c r="Q84" s="43">
        <f t="shared" si="1"/>
        <v>0.4194260486</v>
      </c>
      <c r="R84" s="41">
        <v>580.0</v>
      </c>
      <c r="S84" s="41">
        <v>198.0</v>
      </c>
      <c r="T84" s="44">
        <f t="shared" si="2"/>
        <v>0.3413793103</v>
      </c>
      <c r="U84" s="44"/>
      <c r="V84" s="44"/>
      <c r="W84" s="45" t="s">
        <v>231</v>
      </c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</row>
    <row r="85" hidden="1">
      <c r="A85" s="38"/>
      <c r="B85" s="38" t="s">
        <v>232</v>
      </c>
      <c r="C85" s="40">
        <v>45761.0</v>
      </c>
      <c r="D85" s="41">
        <v>2025.0</v>
      </c>
      <c r="E85" s="41">
        <v>4.0</v>
      </c>
      <c r="F85" s="38" t="s">
        <v>63</v>
      </c>
      <c r="G85" s="38"/>
      <c r="H85" s="38"/>
      <c r="I85" s="38"/>
      <c r="J85" s="38"/>
      <c r="K85" s="38"/>
      <c r="L85" s="38" t="s">
        <v>64</v>
      </c>
      <c r="M85" s="38"/>
      <c r="N85" s="42">
        <v>112.0</v>
      </c>
      <c r="O85" s="38"/>
      <c r="P85" s="42">
        <v>42.0</v>
      </c>
      <c r="Q85" s="43">
        <f t="shared" si="1"/>
        <v>0.375</v>
      </c>
      <c r="R85" s="41">
        <v>580.0</v>
      </c>
      <c r="S85" s="41">
        <v>133.0</v>
      </c>
      <c r="T85" s="44">
        <f t="shared" si="2"/>
        <v>0.2293103448</v>
      </c>
      <c r="U85" s="44"/>
      <c r="V85" s="44"/>
      <c r="W85" s="45" t="s">
        <v>233</v>
      </c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</row>
    <row r="86" hidden="1">
      <c r="A86" s="38"/>
      <c r="B86" s="38" t="s">
        <v>234</v>
      </c>
      <c r="C86" s="40">
        <v>45762.0</v>
      </c>
      <c r="D86" s="41">
        <v>2025.0</v>
      </c>
      <c r="E86" s="41">
        <v>4.0</v>
      </c>
      <c r="F86" s="38" t="s">
        <v>63</v>
      </c>
      <c r="G86" s="38"/>
      <c r="H86" s="38"/>
      <c r="I86" s="38"/>
      <c r="J86" s="38"/>
      <c r="K86" s="38"/>
      <c r="L86" s="38" t="s">
        <v>64</v>
      </c>
      <c r="M86" s="38"/>
      <c r="N86" s="42">
        <v>659.0</v>
      </c>
      <c r="O86" s="38"/>
      <c r="P86" s="42">
        <v>97.0</v>
      </c>
      <c r="Q86" s="43">
        <f t="shared" si="1"/>
        <v>0.1471927162</v>
      </c>
      <c r="R86" s="41">
        <v>116.0</v>
      </c>
      <c r="S86" s="41">
        <v>56.0</v>
      </c>
      <c r="T86" s="44">
        <f t="shared" si="2"/>
        <v>0.4827586207</v>
      </c>
      <c r="U86" s="44"/>
      <c r="V86" s="44"/>
      <c r="W86" s="45" t="s">
        <v>235</v>
      </c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</row>
    <row r="87" hidden="1">
      <c r="A87" s="38"/>
      <c r="B87" s="38" t="s">
        <v>236</v>
      </c>
      <c r="C87" s="40">
        <v>45762.0</v>
      </c>
      <c r="D87" s="41">
        <v>2025.0</v>
      </c>
      <c r="E87" s="41">
        <v>4.0</v>
      </c>
      <c r="F87" s="38" t="s">
        <v>63</v>
      </c>
      <c r="G87" s="38"/>
      <c r="H87" s="38"/>
      <c r="I87" s="38"/>
      <c r="J87" s="38"/>
      <c r="K87" s="38"/>
      <c r="L87" s="38" t="s">
        <v>64</v>
      </c>
      <c r="M87" s="38"/>
      <c r="N87" s="42">
        <v>503.0</v>
      </c>
      <c r="O87" s="38"/>
      <c r="P87" s="42">
        <v>86.0</v>
      </c>
      <c r="Q87" s="43">
        <f t="shared" si="1"/>
        <v>0.1709741551</v>
      </c>
      <c r="R87" s="41">
        <v>121.0</v>
      </c>
      <c r="S87" s="41">
        <v>55.0</v>
      </c>
      <c r="T87" s="44">
        <f t="shared" si="2"/>
        <v>0.4545454545</v>
      </c>
      <c r="U87" s="44"/>
      <c r="V87" s="44"/>
      <c r="W87" s="45" t="s">
        <v>237</v>
      </c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</row>
    <row r="88" hidden="1">
      <c r="A88" s="38"/>
      <c r="B88" s="38" t="s">
        <v>238</v>
      </c>
      <c r="C88" s="40">
        <v>45762.0</v>
      </c>
      <c r="D88" s="41">
        <v>2025.0</v>
      </c>
      <c r="E88" s="41">
        <v>4.0</v>
      </c>
      <c r="F88" s="38" t="s">
        <v>63</v>
      </c>
      <c r="G88" s="38"/>
      <c r="H88" s="38"/>
      <c r="I88" s="38"/>
      <c r="J88" s="38"/>
      <c r="K88" s="38"/>
      <c r="L88" s="38" t="s">
        <v>64</v>
      </c>
      <c r="M88" s="38"/>
      <c r="N88" s="42">
        <v>138.0</v>
      </c>
      <c r="O88" s="38"/>
      <c r="P88" s="42">
        <v>20.0</v>
      </c>
      <c r="Q88" s="43">
        <f t="shared" si="1"/>
        <v>0.1449275362</v>
      </c>
      <c r="R88" s="41">
        <v>121.0</v>
      </c>
      <c r="S88" s="41">
        <v>45.0</v>
      </c>
      <c r="T88" s="44">
        <f t="shared" si="2"/>
        <v>0.3719008264</v>
      </c>
      <c r="U88" s="44"/>
      <c r="V88" s="44"/>
      <c r="W88" s="45" t="s">
        <v>239</v>
      </c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</row>
    <row r="89" hidden="1">
      <c r="A89" s="38"/>
      <c r="B89" s="38" t="s">
        <v>153</v>
      </c>
      <c r="C89" s="40">
        <v>45762.0</v>
      </c>
      <c r="D89" s="41">
        <v>2025.0</v>
      </c>
      <c r="E89" s="41">
        <v>4.0</v>
      </c>
      <c r="F89" s="38" t="s">
        <v>63</v>
      </c>
      <c r="G89" s="38"/>
      <c r="H89" s="38"/>
      <c r="I89" s="38"/>
      <c r="J89" s="38"/>
      <c r="K89" s="38"/>
      <c r="L89" s="38" t="s">
        <v>64</v>
      </c>
      <c r="M89" s="38"/>
      <c r="N89" s="42">
        <v>690.0</v>
      </c>
      <c r="O89" s="38"/>
      <c r="P89" s="42">
        <v>72.0</v>
      </c>
      <c r="Q89" s="43">
        <f t="shared" si="1"/>
        <v>0.1043478261</v>
      </c>
      <c r="R89" s="41">
        <v>103.0</v>
      </c>
      <c r="S89" s="41">
        <v>52.0</v>
      </c>
      <c r="T89" s="44">
        <f t="shared" si="2"/>
        <v>0.5048543689</v>
      </c>
      <c r="U89" s="44"/>
      <c r="V89" s="44"/>
      <c r="W89" s="45" t="s">
        <v>240</v>
      </c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</row>
    <row r="90" hidden="1">
      <c r="A90" s="38"/>
      <c r="B90" s="38" t="s">
        <v>241</v>
      </c>
      <c r="C90" s="40">
        <v>45771.0</v>
      </c>
      <c r="D90" s="41">
        <v>2025.0</v>
      </c>
      <c r="E90" s="41">
        <v>4.0</v>
      </c>
      <c r="F90" s="38" t="s">
        <v>63</v>
      </c>
      <c r="G90" s="38"/>
      <c r="H90" s="38"/>
      <c r="I90" s="38"/>
      <c r="J90" s="38"/>
      <c r="K90" s="38"/>
      <c r="L90" s="38" t="s">
        <v>64</v>
      </c>
      <c r="M90" s="38"/>
      <c r="N90" s="42">
        <v>284.0</v>
      </c>
      <c r="O90" s="38"/>
      <c r="P90" s="42">
        <v>85.0</v>
      </c>
      <c r="Q90" s="43">
        <f t="shared" si="1"/>
        <v>0.2992957746</v>
      </c>
      <c r="R90" s="41">
        <v>81.0</v>
      </c>
      <c r="S90" s="41">
        <v>47.0</v>
      </c>
      <c r="T90" s="44">
        <f t="shared" si="2"/>
        <v>0.5802469136</v>
      </c>
      <c r="U90" s="44"/>
      <c r="V90" s="44"/>
      <c r="W90" s="45" t="s">
        <v>242</v>
      </c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</row>
    <row r="91" hidden="1">
      <c r="A91" s="38"/>
      <c r="B91" s="38" t="s">
        <v>243</v>
      </c>
      <c r="C91" s="40">
        <v>45785.0</v>
      </c>
      <c r="D91" s="41">
        <v>2025.0</v>
      </c>
      <c r="E91" s="41">
        <v>5.0</v>
      </c>
      <c r="F91" s="38" t="s">
        <v>63</v>
      </c>
      <c r="G91" s="38"/>
      <c r="H91" s="38"/>
      <c r="I91" s="38"/>
      <c r="J91" s="38"/>
      <c r="K91" s="38"/>
      <c r="L91" s="38" t="s">
        <v>64</v>
      </c>
      <c r="M91" s="38"/>
      <c r="N91" s="42">
        <v>736.0</v>
      </c>
      <c r="O91" s="38"/>
      <c r="P91" s="42">
        <v>249.0</v>
      </c>
      <c r="Q91" s="43">
        <f t="shared" si="1"/>
        <v>0.3383152174</v>
      </c>
      <c r="R91" s="41">
        <v>100.0</v>
      </c>
      <c r="S91" s="41">
        <v>56.0</v>
      </c>
      <c r="T91" s="44">
        <f t="shared" si="2"/>
        <v>0.56</v>
      </c>
      <c r="U91" s="44"/>
      <c r="V91" s="44"/>
      <c r="W91" s="45" t="s">
        <v>244</v>
      </c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</row>
    <row r="92" hidden="1">
      <c r="A92" s="38"/>
      <c r="B92" s="38" t="s">
        <v>245</v>
      </c>
      <c r="C92" s="40">
        <v>45790.0</v>
      </c>
      <c r="D92" s="41">
        <v>2025.0</v>
      </c>
      <c r="E92" s="41">
        <v>5.0</v>
      </c>
      <c r="F92" s="38" t="s">
        <v>74</v>
      </c>
      <c r="G92" s="38"/>
      <c r="H92" s="38"/>
      <c r="I92" s="38"/>
      <c r="J92" s="38"/>
      <c r="K92" s="38"/>
      <c r="L92" s="38" t="s">
        <v>64</v>
      </c>
      <c r="M92" s="38"/>
      <c r="N92" s="42">
        <v>672.0</v>
      </c>
      <c r="O92" s="38"/>
      <c r="P92" s="42">
        <v>139.0</v>
      </c>
      <c r="Q92" s="43">
        <f t="shared" si="1"/>
        <v>0.2068452381</v>
      </c>
      <c r="R92" s="41">
        <v>92.0</v>
      </c>
      <c r="S92" s="41">
        <v>55.0</v>
      </c>
      <c r="T92" s="44">
        <f t="shared" si="2"/>
        <v>0.597826087</v>
      </c>
      <c r="U92" s="44"/>
      <c r="V92" s="44"/>
      <c r="W92" s="45" t="s">
        <v>246</v>
      </c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</row>
    <row r="93" hidden="1">
      <c r="A93" s="38"/>
      <c r="B93" s="38" t="s">
        <v>247</v>
      </c>
      <c r="C93" s="40">
        <v>45819.0</v>
      </c>
      <c r="D93" s="41">
        <v>2025.0</v>
      </c>
      <c r="E93" s="41">
        <v>6.0</v>
      </c>
      <c r="F93" s="38" t="s">
        <v>74</v>
      </c>
      <c r="G93" s="38"/>
      <c r="H93" s="38"/>
      <c r="I93" s="38"/>
      <c r="J93" s="38"/>
      <c r="K93" s="38"/>
      <c r="L93" s="38" t="s">
        <v>64</v>
      </c>
      <c r="M93" s="38"/>
      <c r="N93" s="42">
        <v>351.0</v>
      </c>
      <c r="O93" s="38"/>
      <c r="P93" s="42">
        <v>104.0</v>
      </c>
      <c r="Q93" s="43">
        <f t="shared" si="1"/>
        <v>0.2962962963</v>
      </c>
      <c r="R93" s="41">
        <v>95.0</v>
      </c>
      <c r="S93" s="41">
        <v>64.0</v>
      </c>
      <c r="T93" s="44">
        <f t="shared" si="2"/>
        <v>0.6736842105</v>
      </c>
      <c r="U93" s="44"/>
      <c r="V93" s="44"/>
      <c r="W93" s="45" t="s">
        <v>248</v>
      </c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</row>
    <row r="94" hidden="1">
      <c r="A94" s="47"/>
      <c r="B94" s="47" t="s">
        <v>249</v>
      </c>
      <c r="C94" s="40">
        <v>45820.0</v>
      </c>
      <c r="D94" s="41">
        <v>2025.0</v>
      </c>
      <c r="E94" s="41">
        <v>6.0</v>
      </c>
      <c r="F94" s="38" t="s">
        <v>70</v>
      </c>
      <c r="G94" s="38"/>
      <c r="H94" s="38"/>
      <c r="I94" s="38" t="s">
        <v>67</v>
      </c>
      <c r="J94" s="38"/>
      <c r="K94" s="38"/>
      <c r="L94" s="38" t="s">
        <v>64</v>
      </c>
      <c r="M94" s="38"/>
      <c r="N94" s="42">
        <v>675.0</v>
      </c>
      <c r="O94" s="38"/>
      <c r="P94" s="42">
        <v>279.0</v>
      </c>
      <c r="Q94" s="43">
        <f t="shared" si="1"/>
        <v>0.4133333333</v>
      </c>
      <c r="R94" s="41">
        <v>379.0</v>
      </c>
      <c r="S94" s="41">
        <v>171.0</v>
      </c>
      <c r="T94" s="44">
        <f t="shared" si="2"/>
        <v>0.4511873351</v>
      </c>
      <c r="U94" s="55">
        <v>130.0</v>
      </c>
      <c r="V94" s="56">
        <f>U94/P94</f>
        <v>0.4659498208</v>
      </c>
      <c r="W94" s="45" t="s">
        <v>250</v>
      </c>
      <c r="X94" s="38"/>
      <c r="Y94" s="38" t="s">
        <v>251</v>
      </c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</row>
    <row r="95" hidden="1">
      <c r="A95" s="38"/>
      <c r="B95" s="38" t="s">
        <v>252</v>
      </c>
      <c r="C95" s="40">
        <v>45832.0</v>
      </c>
      <c r="D95" s="41">
        <v>2025.0</v>
      </c>
      <c r="E95" s="41">
        <v>6.0</v>
      </c>
      <c r="F95" s="38" t="s">
        <v>74</v>
      </c>
      <c r="G95" s="38"/>
      <c r="H95" s="38"/>
      <c r="I95" s="38"/>
      <c r="J95" s="38"/>
      <c r="K95" s="38"/>
      <c r="L95" s="38" t="s">
        <v>64</v>
      </c>
      <c r="M95" s="38"/>
      <c r="N95" s="42">
        <v>259.0</v>
      </c>
      <c r="O95" s="38"/>
      <c r="P95" s="42">
        <v>68.0</v>
      </c>
      <c r="Q95" s="43">
        <f t="shared" si="1"/>
        <v>0.2625482625</v>
      </c>
      <c r="R95" s="41">
        <v>72.0</v>
      </c>
      <c r="S95" s="41">
        <v>64.0</v>
      </c>
      <c r="T95" s="44">
        <f t="shared" si="2"/>
        <v>0.8888888889</v>
      </c>
      <c r="U95" s="44"/>
      <c r="V95" s="44"/>
      <c r="W95" s="45" t="s">
        <v>253</v>
      </c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</row>
    <row r="96" hidden="1">
      <c r="A96" s="38"/>
      <c r="B96" s="38" t="s">
        <v>254</v>
      </c>
      <c r="C96" s="40">
        <v>45833.0</v>
      </c>
      <c r="D96" s="41">
        <v>2025.0</v>
      </c>
      <c r="E96" s="41">
        <v>6.0</v>
      </c>
      <c r="F96" s="38" t="s">
        <v>63</v>
      </c>
      <c r="G96" s="38"/>
      <c r="H96" s="38"/>
      <c r="I96" s="38"/>
      <c r="J96" s="38"/>
      <c r="K96" s="38"/>
      <c r="L96" s="38" t="s">
        <v>64</v>
      </c>
      <c r="M96" s="38"/>
      <c r="N96" s="42">
        <v>104.0</v>
      </c>
      <c r="O96" s="38"/>
      <c r="P96" s="42">
        <v>37.0</v>
      </c>
      <c r="Q96" s="43">
        <f t="shared" si="1"/>
        <v>0.3557692308</v>
      </c>
      <c r="R96" s="41">
        <v>98.0</v>
      </c>
      <c r="S96" s="41">
        <v>58.0</v>
      </c>
      <c r="T96" s="44">
        <f t="shared" si="2"/>
        <v>0.5918367347</v>
      </c>
      <c r="U96" s="44"/>
      <c r="V96" s="44"/>
      <c r="W96" s="45" t="s">
        <v>255</v>
      </c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</row>
    <row r="97" hidden="1">
      <c r="A97" s="38"/>
      <c r="B97" s="38" t="s">
        <v>256</v>
      </c>
      <c r="C97" s="40">
        <v>45846.0</v>
      </c>
      <c r="D97" s="41">
        <v>2025.0</v>
      </c>
      <c r="E97" s="41">
        <v>7.0</v>
      </c>
      <c r="F97" s="38" t="s">
        <v>63</v>
      </c>
      <c r="G97" s="38"/>
      <c r="H97" s="38"/>
      <c r="I97" s="38"/>
      <c r="J97" s="38"/>
      <c r="K97" s="38"/>
      <c r="L97" s="38" t="s">
        <v>64</v>
      </c>
      <c r="M97" s="38"/>
      <c r="N97" s="42">
        <v>135.0</v>
      </c>
      <c r="O97" s="38"/>
      <c r="P97" s="42">
        <v>56.0</v>
      </c>
      <c r="Q97" s="43">
        <f t="shared" si="1"/>
        <v>0.4148148148</v>
      </c>
      <c r="R97" s="41">
        <v>94.0</v>
      </c>
      <c r="S97" s="41">
        <v>66.0</v>
      </c>
      <c r="T97" s="44">
        <f t="shared" si="2"/>
        <v>0.7021276596</v>
      </c>
      <c r="U97" s="44"/>
      <c r="V97" s="44"/>
      <c r="W97" s="45" t="s">
        <v>257</v>
      </c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</row>
    <row r="98" hidden="1">
      <c r="A98" s="38"/>
      <c r="B98" s="38" t="s">
        <v>258</v>
      </c>
      <c r="C98" s="40">
        <v>45850.0</v>
      </c>
      <c r="D98" s="41">
        <v>2025.0</v>
      </c>
      <c r="E98" s="41">
        <v>7.0</v>
      </c>
      <c r="F98" s="38" t="s">
        <v>63</v>
      </c>
      <c r="G98" s="38"/>
      <c r="H98" s="38"/>
      <c r="I98" s="38"/>
      <c r="J98" s="38"/>
      <c r="K98" s="38"/>
      <c r="L98" s="38" t="s">
        <v>64</v>
      </c>
      <c r="M98" s="38"/>
      <c r="N98" s="42">
        <v>981.0</v>
      </c>
      <c r="O98" s="38"/>
      <c r="P98" s="42">
        <v>464.0</v>
      </c>
      <c r="Q98" s="43">
        <f t="shared" si="1"/>
        <v>0.4729867482</v>
      </c>
      <c r="R98" s="41">
        <v>93.0</v>
      </c>
      <c r="S98" s="41">
        <v>60.0</v>
      </c>
      <c r="T98" s="44">
        <f t="shared" si="2"/>
        <v>0.6451612903</v>
      </c>
      <c r="U98" s="44"/>
      <c r="V98" s="44"/>
      <c r="W98" s="45" t="s">
        <v>259</v>
      </c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</row>
    <row r="99" hidden="1">
      <c r="A99" s="38"/>
      <c r="B99" s="38" t="s">
        <v>260</v>
      </c>
      <c r="C99" s="40">
        <v>45868.0</v>
      </c>
      <c r="D99" s="41">
        <v>2025.0</v>
      </c>
      <c r="E99" s="41">
        <v>7.0</v>
      </c>
      <c r="F99" s="38" t="s">
        <v>74</v>
      </c>
      <c r="G99" s="38"/>
      <c r="H99" s="38"/>
      <c r="I99" s="38"/>
      <c r="J99" s="38"/>
      <c r="K99" s="38"/>
      <c r="L99" s="38" t="s">
        <v>64</v>
      </c>
      <c r="M99" s="38"/>
      <c r="N99" s="42">
        <v>403.0</v>
      </c>
      <c r="O99" s="38"/>
      <c r="P99" s="42">
        <v>121.0</v>
      </c>
      <c r="Q99" s="43">
        <f t="shared" si="1"/>
        <v>0.300248139</v>
      </c>
      <c r="R99" s="41">
        <v>111.0</v>
      </c>
      <c r="S99" s="41">
        <v>81.0</v>
      </c>
      <c r="T99" s="44">
        <f t="shared" si="2"/>
        <v>0.7297297297</v>
      </c>
      <c r="U99" s="44"/>
      <c r="V99" s="44"/>
      <c r="W99" s="45" t="s">
        <v>261</v>
      </c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</row>
    <row r="100" hidden="1">
      <c r="A100" s="38"/>
      <c r="B100" s="38" t="s">
        <v>262</v>
      </c>
      <c r="C100" s="40">
        <v>45888.0</v>
      </c>
      <c r="D100" s="41">
        <v>2025.0</v>
      </c>
      <c r="E100" s="41">
        <v>8.0</v>
      </c>
      <c r="F100" s="38" t="s">
        <v>74</v>
      </c>
      <c r="G100" s="38"/>
      <c r="H100" s="38"/>
      <c r="I100" s="38"/>
      <c r="J100" s="38"/>
      <c r="K100" s="38"/>
      <c r="L100" s="38" t="s">
        <v>64</v>
      </c>
      <c r="M100" s="38"/>
      <c r="N100" s="42">
        <v>265.0</v>
      </c>
      <c r="O100" s="38"/>
      <c r="P100" s="42">
        <v>87.0</v>
      </c>
      <c r="Q100" s="43">
        <f t="shared" si="1"/>
        <v>0.3283018868</v>
      </c>
      <c r="R100" s="41">
        <v>85.0</v>
      </c>
      <c r="S100" s="41">
        <v>50.0</v>
      </c>
      <c r="T100" s="44">
        <f t="shared" si="2"/>
        <v>0.5882352941</v>
      </c>
      <c r="U100" s="44"/>
      <c r="V100" s="44"/>
      <c r="W100" s="45" t="s">
        <v>263</v>
      </c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</row>
    <row r="101" hidden="1">
      <c r="A101" s="47"/>
      <c r="B101" s="47" t="s">
        <v>264</v>
      </c>
      <c r="C101" s="46">
        <v>45905.0</v>
      </c>
      <c r="D101" s="41">
        <v>2025.0</v>
      </c>
      <c r="E101" s="41">
        <v>9.0</v>
      </c>
      <c r="F101" s="38" t="s">
        <v>70</v>
      </c>
      <c r="G101" s="38"/>
      <c r="H101" s="38"/>
      <c r="I101" s="38" t="s">
        <v>71</v>
      </c>
      <c r="J101" s="38"/>
      <c r="K101" s="38"/>
      <c r="L101" s="38" t="s">
        <v>64</v>
      </c>
      <c r="M101" s="38"/>
      <c r="N101" s="42">
        <v>1762.0</v>
      </c>
      <c r="O101" s="38"/>
      <c r="P101" s="42">
        <v>761.0</v>
      </c>
      <c r="Q101" s="43">
        <f t="shared" si="1"/>
        <v>0.4318955732</v>
      </c>
      <c r="R101" s="41">
        <v>372.0</v>
      </c>
      <c r="S101" s="41">
        <v>160.0</v>
      </c>
      <c r="T101" s="44">
        <f t="shared" si="2"/>
        <v>0.4301075269</v>
      </c>
      <c r="U101" s="55">
        <v>277.0</v>
      </c>
      <c r="V101" s="56">
        <f>U101/P101</f>
        <v>0.3639947438</v>
      </c>
      <c r="W101" s="45" t="s">
        <v>265</v>
      </c>
      <c r="X101" s="38"/>
      <c r="Y101" s="38" t="s">
        <v>266</v>
      </c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</row>
    <row r="102" hidden="1">
      <c r="A102" s="38"/>
      <c r="B102" s="38" t="s">
        <v>267</v>
      </c>
      <c r="C102" s="46">
        <v>45931.0</v>
      </c>
      <c r="D102" s="41">
        <v>2025.0</v>
      </c>
      <c r="E102" s="41">
        <v>10.0</v>
      </c>
      <c r="F102" s="38" t="s">
        <v>74</v>
      </c>
      <c r="G102" s="38"/>
      <c r="H102" s="38"/>
      <c r="I102" s="38" t="s">
        <v>268</v>
      </c>
      <c r="J102" s="38"/>
      <c r="K102" s="38"/>
      <c r="L102" s="38" t="s">
        <v>64</v>
      </c>
      <c r="M102" s="38"/>
      <c r="N102" s="42">
        <v>378.0</v>
      </c>
      <c r="O102" s="38"/>
      <c r="P102" s="42">
        <v>130.0</v>
      </c>
      <c r="Q102" s="43">
        <f t="shared" si="1"/>
        <v>0.3439153439</v>
      </c>
      <c r="R102" s="41">
        <v>89.0</v>
      </c>
      <c r="S102" s="41">
        <v>67.0</v>
      </c>
      <c r="T102" s="44">
        <f t="shared" si="2"/>
        <v>0.7528089888</v>
      </c>
      <c r="U102" s="44"/>
      <c r="V102" s="44"/>
      <c r="W102" s="45" t="s">
        <v>269</v>
      </c>
      <c r="X102" s="57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</row>
    <row r="103" hidden="1">
      <c r="A103" s="47"/>
      <c r="B103" s="47" t="s">
        <v>270</v>
      </c>
      <c r="C103" s="46">
        <v>45951.0</v>
      </c>
      <c r="D103" s="41">
        <v>2025.0</v>
      </c>
      <c r="E103" s="41">
        <v>10.0</v>
      </c>
      <c r="F103" s="38" t="s">
        <v>74</v>
      </c>
      <c r="G103" s="38"/>
      <c r="H103" s="39" t="s">
        <v>45</v>
      </c>
      <c r="I103" s="38" t="s">
        <v>271</v>
      </c>
      <c r="J103" s="41">
        <f>K103*0.4</f>
        <v>200</v>
      </c>
      <c r="K103" s="41">
        <v>500.0</v>
      </c>
      <c r="L103" s="38" t="s">
        <v>64</v>
      </c>
      <c r="M103" s="38"/>
      <c r="N103" s="42">
        <v>332.0</v>
      </c>
      <c r="O103" s="38"/>
      <c r="P103" s="42">
        <v>155.0</v>
      </c>
      <c r="Q103" s="43">
        <f t="shared" si="1"/>
        <v>0.4668674699</v>
      </c>
      <c r="R103" s="41">
        <v>98.0</v>
      </c>
      <c r="S103" s="41">
        <v>64.0</v>
      </c>
      <c r="T103" s="44">
        <f t="shared" si="2"/>
        <v>0.6530612245</v>
      </c>
      <c r="U103" s="44"/>
      <c r="V103" s="44"/>
      <c r="W103" s="45" t="s">
        <v>272</v>
      </c>
      <c r="X103" s="57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</row>
    <row r="104" hidden="1">
      <c r="A104" s="47"/>
      <c r="B104" s="47" t="s">
        <v>273</v>
      </c>
      <c r="C104" s="46">
        <v>45958.0</v>
      </c>
      <c r="D104" s="41">
        <v>2025.0</v>
      </c>
      <c r="E104" s="41">
        <v>10.0</v>
      </c>
      <c r="F104" s="38" t="s">
        <v>70</v>
      </c>
      <c r="G104" s="38"/>
      <c r="H104" s="38"/>
      <c r="I104" s="38" t="s">
        <v>71</v>
      </c>
      <c r="J104" s="41">
        <v>750.0</v>
      </c>
      <c r="K104" s="41">
        <v>1876.0</v>
      </c>
      <c r="L104" s="38" t="s">
        <v>64</v>
      </c>
      <c r="M104" s="38"/>
      <c r="N104" s="42">
        <v>2183.0</v>
      </c>
      <c r="O104" s="38"/>
      <c r="P104" s="42">
        <v>728.0</v>
      </c>
      <c r="Q104" s="43">
        <f t="shared" si="1"/>
        <v>0.3334860284</v>
      </c>
      <c r="R104" s="41">
        <v>377.0</v>
      </c>
      <c r="S104" s="41">
        <v>138.0</v>
      </c>
      <c r="T104" s="44">
        <f t="shared" si="2"/>
        <v>0.3660477454</v>
      </c>
      <c r="U104" s="55">
        <v>258.0</v>
      </c>
      <c r="V104" s="56">
        <f>U104/P104</f>
        <v>0.3543956044</v>
      </c>
      <c r="W104" s="45" t="s">
        <v>274</v>
      </c>
      <c r="X104" s="57"/>
      <c r="Y104" s="38" t="s">
        <v>251</v>
      </c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</row>
    <row r="105" hidden="1">
      <c r="A105" s="45"/>
      <c r="B105" s="45" t="s">
        <v>275</v>
      </c>
      <c r="C105" s="46">
        <v>45980.0</v>
      </c>
      <c r="D105" s="41">
        <v>2025.0</v>
      </c>
      <c r="E105" s="41">
        <v>11.0</v>
      </c>
      <c r="F105" s="38" t="s">
        <v>74</v>
      </c>
      <c r="G105" s="45" t="s">
        <v>276</v>
      </c>
      <c r="H105" s="39" t="s">
        <v>45</v>
      </c>
      <c r="I105" s="38" t="s">
        <v>277</v>
      </c>
      <c r="J105" s="41">
        <v>500.0</v>
      </c>
      <c r="K105" s="41">
        <v>500.0</v>
      </c>
      <c r="L105" s="38" t="s">
        <v>64</v>
      </c>
      <c r="M105" s="38"/>
      <c r="N105" s="42">
        <v>382.0</v>
      </c>
      <c r="O105" s="38"/>
      <c r="P105" s="42">
        <v>128.0</v>
      </c>
      <c r="Q105" s="43">
        <f t="shared" si="1"/>
        <v>0.335078534</v>
      </c>
      <c r="R105" s="41">
        <v>59.0</v>
      </c>
      <c r="S105" s="41">
        <v>49.0</v>
      </c>
      <c r="T105" s="44">
        <f t="shared" si="2"/>
        <v>0.8305084746</v>
      </c>
      <c r="U105" s="44"/>
      <c r="V105" s="44"/>
      <c r="W105" s="45" t="s">
        <v>278</v>
      </c>
      <c r="X105" s="46">
        <v>45978.0</v>
      </c>
      <c r="Y105" s="38" t="s">
        <v>251</v>
      </c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</row>
    <row r="106" hidden="1">
      <c r="A106" s="47"/>
      <c r="B106" s="47" t="s">
        <v>279</v>
      </c>
      <c r="C106" s="46">
        <v>45981.0</v>
      </c>
      <c r="D106" s="41">
        <v>2025.0</v>
      </c>
      <c r="E106" s="41">
        <v>11.0</v>
      </c>
      <c r="F106" s="38" t="s">
        <v>70</v>
      </c>
      <c r="G106" s="38"/>
      <c r="H106" s="38"/>
      <c r="I106" s="38" t="s">
        <v>71</v>
      </c>
      <c r="J106" s="41">
        <v>750.0</v>
      </c>
      <c r="K106" s="41">
        <v>2550.0</v>
      </c>
      <c r="L106" s="38" t="s">
        <v>64</v>
      </c>
      <c r="M106" s="38"/>
      <c r="N106" s="42">
        <v>1899.0</v>
      </c>
      <c r="O106" s="38"/>
      <c r="P106" s="42">
        <v>558.0</v>
      </c>
      <c r="Q106" s="43">
        <f t="shared" si="1"/>
        <v>0.2938388626</v>
      </c>
      <c r="R106" s="41">
        <v>375.0</v>
      </c>
      <c r="S106" s="41">
        <v>150.0</v>
      </c>
      <c r="T106" s="44">
        <f t="shared" si="2"/>
        <v>0.4</v>
      </c>
      <c r="U106" s="55">
        <v>221.0</v>
      </c>
      <c r="V106" s="56">
        <f>U106/P106</f>
        <v>0.3960573477</v>
      </c>
      <c r="W106" s="45" t="s">
        <v>280</v>
      </c>
      <c r="X106" s="46">
        <v>45982.0</v>
      </c>
      <c r="Y106" s="38" t="s">
        <v>251</v>
      </c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</row>
    <row r="107" hidden="1">
      <c r="A107" s="45"/>
      <c r="B107" s="45" t="s">
        <v>281</v>
      </c>
      <c r="C107" s="46">
        <v>45988.0</v>
      </c>
      <c r="D107" s="41">
        <v>2025.0</v>
      </c>
      <c r="E107" s="41">
        <v>11.0</v>
      </c>
      <c r="F107" s="38" t="s">
        <v>74</v>
      </c>
      <c r="G107" s="38"/>
      <c r="H107" s="39" t="s">
        <v>45</v>
      </c>
      <c r="I107" s="38" t="s">
        <v>71</v>
      </c>
      <c r="J107" s="41">
        <f>K107*0.3</f>
        <v>210</v>
      </c>
      <c r="K107" s="41">
        <v>700.0</v>
      </c>
      <c r="L107" s="38" t="s">
        <v>64</v>
      </c>
      <c r="M107" s="38"/>
      <c r="N107" s="42">
        <v>1001.0</v>
      </c>
      <c r="O107" s="38"/>
      <c r="P107" s="42">
        <v>410.0</v>
      </c>
      <c r="Q107" s="43">
        <f t="shared" si="1"/>
        <v>0.4095904096</v>
      </c>
      <c r="R107" s="41">
        <v>69.0</v>
      </c>
      <c r="S107" s="41">
        <v>42.0</v>
      </c>
      <c r="T107" s="44">
        <f t="shared" si="2"/>
        <v>0.6086956522</v>
      </c>
      <c r="U107" s="44"/>
      <c r="V107" s="44"/>
      <c r="W107" s="45" t="s">
        <v>282</v>
      </c>
      <c r="X107" s="46">
        <v>45985.0</v>
      </c>
      <c r="Y107" s="38" t="s">
        <v>266</v>
      </c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</row>
    <row r="108" hidden="1">
      <c r="A108" s="47"/>
      <c r="B108" s="47" t="s">
        <v>283</v>
      </c>
      <c r="C108" s="46">
        <v>45996.0</v>
      </c>
      <c r="D108" s="41">
        <v>2025.0</v>
      </c>
      <c r="E108" s="41">
        <v>12.0</v>
      </c>
      <c r="F108" s="38" t="s">
        <v>70</v>
      </c>
      <c r="G108" s="38"/>
      <c r="H108" s="38"/>
      <c r="I108" s="38" t="s">
        <v>71</v>
      </c>
      <c r="J108" s="41">
        <v>700.0</v>
      </c>
      <c r="K108" s="41">
        <v>2400.0</v>
      </c>
      <c r="L108" s="38" t="s">
        <v>64</v>
      </c>
      <c r="M108" s="38"/>
      <c r="N108" s="58">
        <v>2531.0</v>
      </c>
      <c r="O108" s="38"/>
      <c r="P108" s="48">
        <v>766.0</v>
      </c>
      <c r="Q108" s="43">
        <f t="shared" si="1"/>
        <v>0.302647175</v>
      </c>
      <c r="R108" s="48">
        <v>379.0</v>
      </c>
      <c r="S108" s="48">
        <v>152.0</v>
      </c>
      <c r="T108" s="44">
        <f t="shared" si="2"/>
        <v>0.401055409</v>
      </c>
      <c r="U108" s="55">
        <v>283.0</v>
      </c>
      <c r="V108" s="56">
        <f>U108/P108</f>
        <v>0.3694516971</v>
      </c>
      <c r="W108" s="45" t="s">
        <v>284</v>
      </c>
      <c r="X108" s="46">
        <v>45985.0</v>
      </c>
      <c r="Y108" s="38" t="s">
        <v>285</v>
      </c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</row>
    <row r="109" hidden="1">
      <c r="A109" s="45"/>
      <c r="B109" s="45" t="s">
        <v>286</v>
      </c>
      <c r="C109" s="40">
        <v>46000.0</v>
      </c>
      <c r="D109" s="41">
        <v>2025.0</v>
      </c>
      <c r="E109" s="41">
        <v>12.0</v>
      </c>
      <c r="F109" s="38" t="s">
        <v>74</v>
      </c>
      <c r="G109" s="45" t="s">
        <v>287</v>
      </c>
      <c r="H109" s="39" t="s">
        <v>45</v>
      </c>
      <c r="I109" s="38" t="s">
        <v>71</v>
      </c>
      <c r="J109" s="41">
        <v>350.0</v>
      </c>
      <c r="K109" s="41">
        <v>900.0</v>
      </c>
      <c r="L109" s="38" t="s">
        <v>64</v>
      </c>
      <c r="M109" s="38"/>
      <c r="N109" s="58">
        <v>534.0</v>
      </c>
      <c r="O109" s="38"/>
      <c r="P109" s="38"/>
      <c r="Q109" s="43">
        <f t="shared" si="1"/>
        <v>0</v>
      </c>
      <c r="R109" s="38"/>
      <c r="S109" s="38"/>
      <c r="T109" s="38"/>
      <c r="U109" s="38"/>
      <c r="V109" s="38"/>
      <c r="W109" s="45" t="s">
        <v>288</v>
      </c>
      <c r="X109" s="46">
        <v>45985.0</v>
      </c>
      <c r="Y109" s="38" t="s">
        <v>285</v>
      </c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</row>
    <row r="110" hidden="1">
      <c r="A110" s="47"/>
      <c r="B110" s="47" t="s">
        <v>289</v>
      </c>
      <c r="C110" s="46">
        <v>46001.0</v>
      </c>
      <c r="D110" s="41">
        <v>2025.0</v>
      </c>
      <c r="E110" s="41">
        <v>12.0</v>
      </c>
      <c r="F110" s="38" t="s">
        <v>70</v>
      </c>
      <c r="G110" s="38"/>
      <c r="H110" s="38"/>
      <c r="I110" s="38" t="s">
        <v>71</v>
      </c>
      <c r="J110" s="41">
        <v>750.0</v>
      </c>
      <c r="K110" s="41">
        <v>2550.0</v>
      </c>
      <c r="L110" s="38" t="s">
        <v>64</v>
      </c>
      <c r="M110" s="38"/>
      <c r="N110" s="58">
        <v>1842.0</v>
      </c>
      <c r="O110" s="38"/>
      <c r="P110" s="48">
        <v>500.0</v>
      </c>
      <c r="Q110" s="43">
        <f t="shared" si="1"/>
        <v>0.2714440825</v>
      </c>
      <c r="R110" s="48">
        <v>378.0</v>
      </c>
      <c r="S110" s="48">
        <v>149.0</v>
      </c>
      <c r="T110" s="44">
        <f t="shared" ref="T110:T120" si="3">S110/R110</f>
        <v>0.3941798942</v>
      </c>
      <c r="U110" s="55">
        <v>193.0</v>
      </c>
      <c r="V110" s="56">
        <f t="shared" ref="V110:V112" si="4">U110/P110</f>
        <v>0.386</v>
      </c>
      <c r="W110" s="45" t="s">
        <v>290</v>
      </c>
      <c r="X110" s="46">
        <v>45985.0</v>
      </c>
      <c r="Y110" s="38" t="s">
        <v>285</v>
      </c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</row>
    <row r="111" hidden="1">
      <c r="A111" s="47"/>
      <c r="B111" s="47" t="s">
        <v>291</v>
      </c>
      <c r="C111" s="46">
        <v>46006.0</v>
      </c>
      <c r="D111" s="41">
        <v>2025.0</v>
      </c>
      <c r="E111" s="41">
        <v>12.0</v>
      </c>
      <c r="F111" s="38" t="s">
        <v>70</v>
      </c>
      <c r="G111" s="38"/>
      <c r="H111" s="38"/>
      <c r="I111" s="38" t="s">
        <v>7</v>
      </c>
      <c r="J111" s="41">
        <v>500.0</v>
      </c>
      <c r="K111" s="41">
        <v>1700.0</v>
      </c>
      <c r="L111" s="38" t="s">
        <v>64</v>
      </c>
      <c r="M111" s="38"/>
      <c r="N111" s="58">
        <v>1400.0</v>
      </c>
      <c r="O111" s="38"/>
      <c r="P111" s="48">
        <v>424.0</v>
      </c>
      <c r="Q111" s="43">
        <f t="shared" si="1"/>
        <v>0.3028571429</v>
      </c>
      <c r="R111" s="48">
        <v>373.0</v>
      </c>
      <c r="S111" s="48">
        <v>162.0</v>
      </c>
      <c r="T111" s="44">
        <f t="shared" si="3"/>
        <v>0.4343163539</v>
      </c>
      <c r="U111" s="55">
        <v>211.0</v>
      </c>
      <c r="V111" s="56">
        <f t="shared" si="4"/>
        <v>0.4976415094</v>
      </c>
      <c r="W111" s="59" t="s">
        <v>292</v>
      </c>
      <c r="X111" s="46">
        <v>45985.0</v>
      </c>
      <c r="Y111" s="38" t="s">
        <v>266</v>
      </c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</row>
    <row r="112" hidden="1">
      <c r="A112" s="47"/>
      <c r="B112" s="47" t="s">
        <v>293</v>
      </c>
      <c r="C112" s="40">
        <v>45743.0</v>
      </c>
      <c r="D112" s="41">
        <v>2025.0</v>
      </c>
      <c r="E112" s="41">
        <v>3.0</v>
      </c>
      <c r="F112" s="38" t="s">
        <v>70</v>
      </c>
      <c r="G112" s="38"/>
      <c r="H112" s="38"/>
      <c r="I112" s="38" t="s">
        <v>71</v>
      </c>
      <c r="J112" s="38"/>
      <c r="K112" s="38"/>
      <c r="L112" s="38" t="s">
        <v>64</v>
      </c>
      <c r="M112" s="38"/>
      <c r="N112" s="42">
        <v>1810.0</v>
      </c>
      <c r="O112" s="38"/>
      <c r="P112" s="42">
        <v>564.0</v>
      </c>
      <c r="Q112" s="43">
        <f t="shared" si="1"/>
        <v>0.3116022099</v>
      </c>
      <c r="R112" s="48">
        <v>392.0</v>
      </c>
      <c r="S112" s="48">
        <v>158.0</v>
      </c>
      <c r="T112" s="44">
        <f t="shared" si="3"/>
        <v>0.4030612245</v>
      </c>
      <c r="U112" s="55">
        <v>228.0</v>
      </c>
      <c r="V112" s="56">
        <f t="shared" si="4"/>
        <v>0.4042553191</v>
      </c>
      <c r="W112" s="45" t="s">
        <v>294</v>
      </c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</row>
    <row r="113" hidden="1">
      <c r="A113" s="47"/>
      <c r="B113" s="47" t="s">
        <v>295</v>
      </c>
      <c r="C113" s="40">
        <v>46087.0</v>
      </c>
      <c r="D113" s="41">
        <v>2026.0</v>
      </c>
      <c r="E113" s="41">
        <v>3.0</v>
      </c>
      <c r="F113" s="38" t="s">
        <v>70</v>
      </c>
      <c r="G113" s="38"/>
      <c r="H113" s="38"/>
      <c r="I113" s="38" t="s">
        <v>296</v>
      </c>
      <c r="J113" s="41">
        <v>300.0</v>
      </c>
      <c r="K113" s="55">
        <v>1012.0</v>
      </c>
      <c r="L113" s="48" t="s">
        <v>64</v>
      </c>
      <c r="M113" s="60">
        <v>3000.0</v>
      </c>
      <c r="N113" s="58">
        <v>1035.0</v>
      </c>
      <c r="O113" s="43">
        <f>(N113)/K113</f>
        <v>1.022727273</v>
      </c>
      <c r="P113" s="48">
        <v>255.0</v>
      </c>
      <c r="Q113" s="38"/>
      <c r="R113" s="38"/>
      <c r="S113" s="38"/>
      <c r="T113" s="44" t="str">
        <f t="shared" si="3"/>
        <v>#DIV/0!</v>
      </c>
      <c r="U113" s="44"/>
      <c r="V113" s="44"/>
      <c r="W113" s="45" t="s">
        <v>297</v>
      </c>
      <c r="X113" s="61">
        <v>46087.0</v>
      </c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</row>
    <row r="114" hidden="1">
      <c r="A114" s="47"/>
      <c r="B114" s="47" t="s">
        <v>298</v>
      </c>
      <c r="C114" s="40">
        <v>46087.0</v>
      </c>
      <c r="D114" s="41">
        <v>2026.0</v>
      </c>
      <c r="E114" s="41">
        <v>3.0</v>
      </c>
      <c r="F114" s="38" t="s">
        <v>70</v>
      </c>
      <c r="G114" s="38"/>
      <c r="H114" s="38"/>
      <c r="I114" s="38" t="s">
        <v>299</v>
      </c>
      <c r="J114" s="38"/>
      <c r="K114" s="41">
        <v>0.0</v>
      </c>
      <c r="L114" s="48" t="s">
        <v>64</v>
      </c>
      <c r="M114" s="38"/>
      <c r="N114" s="58">
        <v>218.0</v>
      </c>
      <c r="O114" s="62"/>
      <c r="P114" s="38"/>
      <c r="Q114" s="38"/>
      <c r="R114" s="38"/>
      <c r="S114" s="38"/>
      <c r="T114" s="44" t="str">
        <f t="shared" si="3"/>
        <v>#DIV/0!</v>
      </c>
      <c r="U114" s="44"/>
      <c r="V114" s="44"/>
      <c r="W114" s="45" t="s">
        <v>300</v>
      </c>
      <c r="X114" s="61">
        <v>46087.0</v>
      </c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</row>
    <row r="115">
      <c r="A115" s="47"/>
      <c r="B115" s="47" t="s">
        <v>301</v>
      </c>
      <c r="C115" s="40">
        <v>46111.0</v>
      </c>
      <c r="D115" s="41">
        <v>2026.0</v>
      </c>
      <c r="E115" s="41">
        <v>3.0</v>
      </c>
      <c r="F115" s="38" t="s">
        <v>70</v>
      </c>
      <c r="G115" s="38"/>
      <c r="H115" s="38"/>
      <c r="I115" s="38" t="s">
        <v>299</v>
      </c>
      <c r="J115" s="38"/>
      <c r="K115" s="41">
        <v>0.0</v>
      </c>
      <c r="L115" s="38" t="s">
        <v>302</v>
      </c>
      <c r="M115" s="63"/>
      <c r="N115" s="58">
        <v>94.0</v>
      </c>
      <c r="O115" s="43">
        <f t="shared" ref="O115:O116" si="5">(N115)/K116</f>
        <v>0.1342857143</v>
      </c>
      <c r="P115" s="38"/>
      <c r="Q115" s="38"/>
      <c r="R115" s="38"/>
      <c r="S115" s="38"/>
      <c r="T115" s="44" t="str">
        <f t="shared" si="3"/>
        <v>#DIV/0!</v>
      </c>
      <c r="U115" s="44"/>
      <c r="V115" s="44"/>
      <c r="W115" s="45" t="s">
        <v>303</v>
      </c>
      <c r="X115" s="61">
        <v>46087.0</v>
      </c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</row>
    <row r="116">
      <c r="A116" s="47"/>
      <c r="B116" s="47" t="s">
        <v>304</v>
      </c>
      <c r="C116" s="40">
        <v>46111.0</v>
      </c>
      <c r="D116" s="41">
        <v>2026.0</v>
      </c>
      <c r="E116" s="41">
        <v>3.0</v>
      </c>
      <c r="F116" s="38" t="s">
        <v>70</v>
      </c>
      <c r="G116" s="38"/>
      <c r="H116" s="38"/>
      <c r="I116" s="38" t="s">
        <v>296</v>
      </c>
      <c r="J116" s="38"/>
      <c r="K116" s="41">
        <v>700.0</v>
      </c>
      <c r="L116" s="38" t="s">
        <v>302</v>
      </c>
      <c r="M116" s="64">
        <v>1500.0</v>
      </c>
      <c r="N116" s="58">
        <v>317.0</v>
      </c>
      <c r="O116" s="43">
        <f t="shared" si="5"/>
        <v>0.08269565217</v>
      </c>
      <c r="P116" s="38"/>
      <c r="Q116" s="38"/>
      <c r="R116" s="38"/>
      <c r="S116" s="38"/>
      <c r="T116" s="44" t="str">
        <f t="shared" si="3"/>
        <v>#DIV/0!</v>
      </c>
      <c r="U116" s="44"/>
      <c r="V116" s="44"/>
      <c r="W116" s="45" t="s">
        <v>305</v>
      </c>
      <c r="X116" s="61">
        <v>46087.0</v>
      </c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</row>
    <row r="117">
      <c r="A117" s="45"/>
      <c r="B117" s="45" t="s">
        <v>214</v>
      </c>
      <c r="C117" s="65">
        <v>46170.0</v>
      </c>
      <c r="D117" s="41">
        <v>2026.0</v>
      </c>
      <c r="E117" s="55">
        <v>5.0</v>
      </c>
      <c r="F117" s="38" t="s">
        <v>70</v>
      </c>
      <c r="G117" s="38"/>
      <c r="H117" s="38"/>
      <c r="I117" s="38" t="s">
        <v>71</v>
      </c>
      <c r="J117" s="41">
        <v>1000.0</v>
      </c>
      <c r="K117" s="66">
        <f>J117/0.3+500</f>
        <v>3833.333333</v>
      </c>
      <c r="L117" s="48" t="s">
        <v>302</v>
      </c>
      <c r="M117" s="60">
        <v>2000.0</v>
      </c>
      <c r="N117" s="58">
        <v>669.0</v>
      </c>
      <c r="O117" s="43">
        <f>(N117)/K117</f>
        <v>0.1745217391</v>
      </c>
      <c r="P117" s="38"/>
      <c r="Q117" s="62"/>
      <c r="R117" s="38"/>
      <c r="S117" s="38"/>
      <c r="T117" s="44" t="str">
        <f t="shared" si="3"/>
        <v>#DIV/0!</v>
      </c>
      <c r="U117" s="44"/>
      <c r="V117" s="44"/>
      <c r="W117" s="45" t="s">
        <v>306</v>
      </c>
      <c r="X117" s="61">
        <v>46087.0</v>
      </c>
      <c r="Y117" s="38" t="s">
        <v>285</v>
      </c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</row>
    <row r="118">
      <c r="A118" s="47"/>
      <c r="B118" s="47" t="s">
        <v>293</v>
      </c>
      <c r="C118" s="40">
        <v>46107.0</v>
      </c>
      <c r="D118" s="41">
        <v>2026.0</v>
      </c>
      <c r="E118" s="41">
        <v>3.0</v>
      </c>
      <c r="F118" s="38" t="s">
        <v>70</v>
      </c>
      <c r="G118" s="38"/>
      <c r="H118" s="38"/>
      <c r="I118" s="38" t="s">
        <v>71</v>
      </c>
      <c r="J118" s="41">
        <v>600.0</v>
      </c>
      <c r="K118" s="66">
        <f t="shared" ref="K118:K119" si="6">J118/0.3</f>
        <v>2000</v>
      </c>
      <c r="L118" s="38" t="s">
        <v>302</v>
      </c>
      <c r="M118" s="60">
        <v>2000.0</v>
      </c>
      <c r="N118" s="58">
        <v>1098.0</v>
      </c>
      <c r="O118" s="43">
        <f>(N118)/K119</f>
        <v>0.549</v>
      </c>
      <c r="P118" s="38"/>
      <c r="Q118" s="38"/>
      <c r="R118" s="38"/>
      <c r="S118" s="38"/>
      <c r="T118" s="44" t="str">
        <f t="shared" si="3"/>
        <v>#DIV/0!</v>
      </c>
      <c r="U118" s="44"/>
      <c r="V118" s="44"/>
      <c r="W118" s="45" t="s">
        <v>307</v>
      </c>
      <c r="X118" s="61">
        <v>46087.0</v>
      </c>
      <c r="Y118" s="48" t="s">
        <v>285</v>
      </c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</row>
    <row r="119">
      <c r="A119" s="47"/>
      <c r="B119" s="47" t="s">
        <v>308</v>
      </c>
      <c r="C119" s="40">
        <v>46163.0</v>
      </c>
      <c r="D119" s="41">
        <v>2026.0</v>
      </c>
      <c r="E119" s="41">
        <v>5.0</v>
      </c>
      <c r="F119" s="38" t="s">
        <v>70</v>
      </c>
      <c r="G119" s="38"/>
      <c r="H119" s="38"/>
      <c r="I119" s="38" t="s">
        <v>71</v>
      </c>
      <c r="J119" s="41">
        <v>600.0</v>
      </c>
      <c r="K119" s="66">
        <f t="shared" si="6"/>
        <v>2000</v>
      </c>
      <c r="L119" s="38" t="s">
        <v>309</v>
      </c>
      <c r="M119" s="38"/>
      <c r="N119" s="38"/>
      <c r="O119" s="38"/>
      <c r="P119" s="38"/>
      <c r="Q119" s="38"/>
      <c r="R119" s="38"/>
      <c r="S119" s="38"/>
      <c r="T119" s="44" t="str">
        <f t="shared" si="3"/>
        <v>#DIV/0!</v>
      </c>
      <c r="U119" s="44"/>
      <c r="V119" s="44"/>
      <c r="W119" s="38"/>
      <c r="X119" s="61">
        <v>46077.0</v>
      </c>
      <c r="Y119" s="48" t="s">
        <v>310</v>
      </c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</row>
    <row r="120">
      <c r="A120" s="38"/>
      <c r="B120" s="38" t="s">
        <v>311</v>
      </c>
      <c r="C120" s="65">
        <v>46105.0</v>
      </c>
      <c r="D120" s="41">
        <v>2026.0</v>
      </c>
      <c r="E120" s="55">
        <v>3.0</v>
      </c>
      <c r="F120" s="38" t="s">
        <v>74</v>
      </c>
      <c r="G120" s="45" t="s">
        <v>312</v>
      </c>
      <c r="H120" s="38"/>
      <c r="I120" s="38" t="s">
        <v>277</v>
      </c>
      <c r="J120" s="41">
        <v>600.0</v>
      </c>
      <c r="K120" s="41">
        <v>2000.0</v>
      </c>
      <c r="L120" s="48" t="s">
        <v>302</v>
      </c>
      <c r="M120" s="60">
        <v>1000.0</v>
      </c>
      <c r="N120" s="58">
        <v>326.0</v>
      </c>
      <c r="O120" s="43">
        <f>N120/K120</f>
        <v>0.163</v>
      </c>
      <c r="P120" s="38"/>
      <c r="Q120" s="38"/>
      <c r="R120" s="38"/>
      <c r="S120" s="38"/>
      <c r="T120" s="44" t="str">
        <f t="shared" si="3"/>
        <v>#DIV/0!</v>
      </c>
      <c r="U120" s="38"/>
      <c r="V120" s="38"/>
      <c r="W120" s="67" t="s">
        <v>313</v>
      </c>
      <c r="X120" s="61">
        <v>46087.0</v>
      </c>
      <c r="Y120" s="38" t="s">
        <v>251</v>
      </c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</row>
    <row r="121">
      <c r="A121" s="38"/>
      <c r="B121" s="48" t="s">
        <v>314</v>
      </c>
      <c r="C121" s="61">
        <v>45791.0</v>
      </c>
      <c r="D121" s="48">
        <v>2026.0</v>
      </c>
      <c r="E121" s="48">
        <v>5.0</v>
      </c>
      <c r="F121" s="38" t="s">
        <v>74</v>
      </c>
      <c r="G121" s="38"/>
      <c r="H121" s="38"/>
      <c r="I121" s="38"/>
      <c r="J121" s="38"/>
      <c r="K121" s="38"/>
      <c r="L121" s="38" t="s">
        <v>309</v>
      </c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</row>
    <row r="122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</row>
    <row r="123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</row>
    <row r="124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</row>
    <row r="125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</row>
    <row r="126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</row>
    <row r="127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</row>
    <row r="128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</row>
    <row r="129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</row>
    <row r="130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</row>
    <row r="13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</row>
    <row r="132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</row>
    <row r="133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38"/>
      <c r="AI133" s="38"/>
      <c r="AJ133" s="38"/>
      <c r="AK133" s="38"/>
    </row>
    <row r="134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</row>
    <row r="135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</row>
    <row r="136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38"/>
      <c r="AI136" s="38"/>
      <c r="AJ136" s="38"/>
      <c r="AK136" s="38"/>
    </row>
    <row r="137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38"/>
      <c r="AJ137" s="38"/>
      <c r="AK137" s="38"/>
    </row>
    <row r="138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38"/>
      <c r="AI138" s="38"/>
      <c r="AJ138" s="38"/>
      <c r="AK138" s="38"/>
    </row>
    <row r="139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  <c r="AH139" s="38"/>
      <c r="AI139" s="38"/>
      <c r="AJ139" s="38"/>
      <c r="AK139" s="38"/>
    </row>
    <row r="140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38"/>
      <c r="AI140" s="38"/>
      <c r="AJ140" s="38"/>
      <c r="AK140" s="38"/>
    </row>
    <row r="14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4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</row>
    <row r="142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38"/>
      <c r="AJ142" s="38"/>
      <c r="AK142" s="38"/>
    </row>
    <row r="143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38"/>
      <c r="AI143" s="38"/>
      <c r="AJ143" s="38"/>
      <c r="AK143" s="38"/>
    </row>
    <row r="144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38"/>
      <c r="AI144" s="38"/>
      <c r="AJ144" s="38"/>
      <c r="AK144" s="38"/>
    </row>
    <row r="145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  <c r="AH145" s="38"/>
      <c r="AI145" s="38"/>
      <c r="AJ145" s="38"/>
      <c r="AK145" s="38"/>
    </row>
    <row r="146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8"/>
      <c r="AH146" s="38"/>
      <c r="AI146" s="38"/>
      <c r="AJ146" s="38"/>
      <c r="AK146" s="38"/>
    </row>
    <row r="147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  <c r="AH147" s="38"/>
      <c r="AI147" s="38"/>
      <c r="AJ147" s="38"/>
      <c r="AK147" s="38"/>
    </row>
    <row r="148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8"/>
      <c r="AH148" s="38"/>
      <c r="AI148" s="38"/>
      <c r="AJ148" s="38"/>
      <c r="AK148" s="38"/>
    </row>
    <row r="149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/>
      <c r="AH149" s="38"/>
      <c r="AI149" s="38"/>
      <c r="AJ149" s="38"/>
      <c r="AK149" s="38"/>
    </row>
    <row r="150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  <c r="AH150" s="38"/>
      <c r="AI150" s="38"/>
      <c r="AJ150" s="38"/>
      <c r="AK150" s="38"/>
    </row>
    <row r="15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  <c r="AI151" s="38"/>
      <c r="AJ151" s="38"/>
      <c r="AK151" s="38"/>
    </row>
    <row r="15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  <c r="AH152" s="38"/>
      <c r="AI152" s="38"/>
      <c r="AJ152" s="38"/>
      <c r="AK152" s="38"/>
    </row>
    <row r="153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  <c r="AH153" s="38"/>
      <c r="AI153" s="38"/>
      <c r="AJ153" s="38"/>
      <c r="AK153" s="38"/>
    </row>
    <row r="154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  <c r="AH154" s="38"/>
      <c r="AI154" s="38"/>
      <c r="AJ154" s="38"/>
      <c r="AK154" s="38"/>
    </row>
    <row r="155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8"/>
      <c r="AH155" s="38"/>
      <c r="AI155" s="38"/>
      <c r="AJ155" s="38"/>
      <c r="AK155" s="38"/>
    </row>
    <row r="156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8"/>
      <c r="AH156" s="38"/>
      <c r="AI156" s="38"/>
      <c r="AJ156" s="38"/>
      <c r="AK156" s="38"/>
    </row>
    <row r="157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38"/>
      <c r="AI157" s="38"/>
      <c r="AJ157" s="38"/>
      <c r="AK157" s="38"/>
    </row>
    <row r="158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8"/>
      <c r="AH158" s="38"/>
      <c r="AI158" s="38"/>
      <c r="AJ158" s="38"/>
      <c r="AK158" s="38"/>
    </row>
    <row r="159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8"/>
      <c r="AH159" s="38"/>
      <c r="AI159" s="38"/>
      <c r="AJ159" s="38"/>
      <c r="AK159" s="38"/>
    </row>
    <row r="160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38"/>
      <c r="AI160" s="38"/>
      <c r="AJ160" s="38"/>
      <c r="AK160" s="38"/>
    </row>
    <row r="16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8"/>
      <c r="AH161" s="38"/>
      <c r="AI161" s="38"/>
      <c r="AJ161" s="38"/>
      <c r="AK161" s="38"/>
    </row>
    <row r="162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  <c r="AG162" s="38"/>
      <c r="AH162" s="38"/>
      <c r="AI162" s="38"/>
      <c r="AJ162" s="38"/>
      <c r="AK162" s="38"/>
    </row>
    <row r="163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38"/>
      <c r="AI163" s="38"/>
      <c r="AJ163" s="38"/>
      <c r="AK163" s="38"/>
    </row>
    <row r="164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  <c r="AH164" s="38"/>
      <c r="AI164" s="38"/>
      <c r="AJ164" s="38"/>
      <c r="AK164" s="38"/>
    </row>
    <row r="165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38"/>
      <c r="AH165" s="38"/>
      <c r="AI165" s="38"/>
      <c r="AJ165" s="38"/>
      <c r="AK165" s="38"/>
    </row>
    <row r="166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  <c r="AG166" s="38"/>
      <c r="AH166" s="38"/>
      <c r="AI166" s="38"/>
      <c r="AJ166" s="38"/>
      <c r="AK166" s="38"/>
    </row>
    <row r="167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38"/>
      <c r="AH167" s="38"/>
      <c r="AI167" s="38"/>
      <c r="AJ167" s="38"/>
      <c r="AK167" s="38"/>
    </row>
    <row r="168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8"/>
      <c r="AH168" s="38"/>
      <c r="AI168" s="38"/>
      <c r="AJ168" s="38"/>
      <c r="AK168" s="38"/>
    </row>
    <row r="169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  <c r="AI169" s="38"/>
      <c r="AJ169" s="38"/>
      <c r="AK169" s="38"/>
    </row>
    <row r="170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  <c r="AH170" s="38"/>
      <c r="AI170" s="38"/>
      <c r="AJ170" s="38"/>
      <c r="AK170" s="38"/>
    </row>
    <row r="17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38"/>
      <c r="AI171" s="38"/>
      <c r="AJ171" s="38"/>
      <c r="AK171" s="38"/>
    </row>
    <row r="172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  <c r="AI172" s="38"/>
      <c r="AJ172" s="38"/>
      <c r="AK172" s="38"/>
    </row>
    <row r="173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</row>
    <row r="174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  <c r="AI174" s="38"/>
      <c r="AJ174" s="38"/>
      <c r="AK174" s="38"/>
    </row>
    <row r="175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</row>
    <row r="176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38"/>
      <c r="AJ176" s="38"/>
      <c r="AK176" s="38"/>
    </row>
    <row r="177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</row>
    <row r="178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</row>
    <row r="179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38"/>
      <c r="AH179" s="38"/>
      <c r="AI179" s="38"/>
      <c r="AJ179" s="38"/>
      <c r="AK179" s="38"/>
    </row>
    <row r="180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  <c r="AH180" s="38"/>
      <c r="AI180" s="38"/>
      <c r="AJ180" s="38"/>
      <c r="AK180" s="38"/>
    </row>
    <row r="18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38"/>
      <c r="AH181" s="38"/>
      <c r="AI181" s="38"/>
      <c r="AJ181" s="38"/>
      <c r="AK181" s="38"/>
    </row>
    <row r="182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  <c r="AH182" s="38"/>
      <c r="AI182" s="38"/>
      <c r="AJ182" s="38"/>
      <c r="AK182" s="38"/>
    </row>
    <row r="183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  <c r="AG183" s="38"/>
      <c r="AH183" s="38"/>
      <c r="AI183" s="38"/>
      <c r="AJ183" s="38"/>
      <c r="AK183" s="38"/>
    </row>
    <row r="184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  <c r="AH184" s="38"/>
      <c r="AI184" s="38"/>
      <c r="AJ184" s="38"/>
      <c r="AK184" s="38"/>
    </row>
    <row r="185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8"/>
      <c r="AH185" s="38"/>
      <c r="AI185" s="38"/>
      <c r="AJ185" s="38"/>
      <c r="AK185" s="38"/>
    </row>
    <row r="186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8"/>
      <c r="AH186" s="38"/>
      <c r="AI186" s="38"/>
      <c r="AJ186" s="38"/>
      <c r="AK186" s="38"/>
    </row>
    <row r="187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  <c r="AG187" s="38"/>
      <c r="AH187" s="38"/>
      <c r="AI187" s="38"/>
      <c r="AJ187" s="38"/>
      <c r="AK187" s="38"/>
    </row>
    <row r="188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  <c r="AG188" s="38"/>
      <c r="AH188" s="38"/>
      <c r="AI188" s="38"/>
      <c r="AJ188" s="38"/>
      <c r="AK188" s="38"/>
    </row>
    <row r="189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  <c r="AG189" s="38"/>
      <c r="AH189" s="38"/>
      <c r="AI189" s="38"/>
      <c r="AJ189" s="38"/>
      <c r="AK189" s="38"/>
    </row>
    <row r="190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  <c r="AG190" s="38"/>
      <c r="AH190" s="38"/>
      <c r="AI190" s="38"/>
      <c r="AJ190" s="38"/>
      <c r="AK190" s="38"/>
    </row>
    <row r="19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  <c r="AG191" s="38"/>
      <c r="AH191" s="38"/>
      <c r="AI191" s="38"/>
      <c r="AJ191" s="38"/>
      <c r="AK191" s="38"/>
    </row>
    <row r="192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  <c r="AG192" s="38"/>
      <c r="AH192" s="38"/>
      <c r="AI192" s="38"/>
      <c r="AJ192" s="38"/>
      <c r="AK192" s="38"/>
    </row>
    <row r="193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  <c r="AI193" s="38"/>
      <c r="AJ193" s="38"/>
      <c r="AK193" s="38"/>
    </row>
    <row r="194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38"/>
      <c r="AI194" s="38"/>
      <c r="AJ194" s="38"/>
      <c r="AK194" s="38"/>
    </row>
    <row r="195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  <c r="AH195" s="38"/>
      <c r="AI195" s="38"/>
      <c r="AJ195" s="38"/>
      <c r="AK195" s="38"/>
    </row>
    <row r="196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  <c r="AH196" s="38"/>
      <c r="AI196" s="38"/>
      <c r="AJ196" s="38"/>
      <c r="AK196" s="38"/>
    </row>
    <row r="197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</row>
    <row r="198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</row>
    <row r="199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</row>
    <row r="200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</row>
    <row r="20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</row>
    <row r="20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38"/>
      <c r="AK202" s="38"/>
    </row>
    <row r="203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8"/>
      <c r="AH203" s="38"/>
      <c r="AI203" s="38"/>
      <c r="AJ203" s="38"/>
      <c r="AK203" s="38"/>
    </row>
    <row r="204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38"/>
      <c r="AH204" s="38"/>
      <c r="AI204" s="38"/>
      <c r="AJ204" s="38"/>
      <c r="AK204" s="38"/>
    </row>
    <row r="205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38"/>
      <c r="AH205" s="38"/>
      <c r="AI205" s="38"/>
      <c r="AJ205" s="38"/>
      <c r="AK205" s="38"/>
    </row>
    <row r="206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  <c r="AD206" s="38"/>
      <c r="AE206" s="38"/>
      <c r="AF206" s="38"/>
      <c r="AG206" s="38"/>
      <c r="AH206" s="38"/>
      <c r="AI206" s="38"/>
      <c r="AJ206" s="38"/>
      <c r="AK206" s="38"/>
    </row>
    <row r="207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  <c r="AE207" s="38"/>
      <c r="AF207" s="38"/>
      <c r="AG207" s="38"/>
      <c r="AH207" s="38"/>
      <c r="AI207" s="38"/>
      <c r="AJ207" s="38"/>
      <c r="AK207" s="38"/>
    </row>
    <row r="208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  <c r="AG208" s="38"/>
      <c r="AH208" s="38"/>
      <c r="AI208" s="38"/>
      <c r="AJ208" s="38"/>
      <c r="AK208" s="38"/>
    </row>
    <row r="209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  <c r="AE209" s="38"/>
      <c r="AF209" s="38"/>
      <c r="AG209" s="38"/>
      <c r="AH209" s="38"/>
      <c r="AI209" s="38"/>
      <c r="AJ209" s="38"/>
      <c r="AK209" s="38"/>
    </row>
    <row r="210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  <c r="AE210" s="38"/>
      <c r="AF210" s="38"/>
      <c r="AG210" s="38"/>
      <c r="AH210" s="38"/>
      <c r="AI210" s="38"/>
      <c r="AJ210" s="38"/>
      <c r="AK210" s="38"/>
    </row>
    <row r="21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  <c r="AG211" s="38"/>
      <c r="AH211" s="38"/>
      <c r="AI211" s="38"/>
      <c r="AJ211" s="38"/>
      <c r="AK211" s="38"/>
    </row>
    <row r="21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  <c r="AE212" s="38"/>
      <c r="AF212" s="38"/>
      <c r="AG212" s="38"/>
      <c r="AH212" s="38"/>
      <c r="AI212" s="38"/>
      <c r="AJ212" s="38"/>
      <c r="AK212" s="38"/>
    </row>
    <row r="213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  <c r="AG213" s="38"/>
      <c r="AH213" s="38"/>
      <c r="AI213" s="38"/>
      <c r="AJ213" s="38"/>
      <c r="AK213" s="38"/>
    </row>
    <row r="214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  <c r="AG214" s="38"/>
      <c r="AH214" s="38"/>
      <c r="AI214" s="38"/>
      <c r="AJ214" s="38"/>
      <c r="AK214" s="38"/>
    </row>
    <row r="215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  <c r="AG215" s="38"/>
      <c r="AH215" s="38"/>
      <c r="AI215" s="38"/>
      <c r="AJ215" s="38"/>
      <c r="AK215" s="38"/>
    </row>
    <row r="216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  <c r="AG216" s="38"/>
      <c r="AH216" s="38"/>
      <c r="AI216" s="38"/>
      <c r="AJ216" s="38"/>
      <c r="AK216" s="38"/>
    </row>
    <row r="217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8"/>
      <c r="AH217" s="38"/>
      <c r="AI217" s="38"/>
      <c r="AJ217" s="38"/>
      <c r="AK217" s="38"/>
    </row>
    <row r="218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  <c r="AI218" s="38"/>
      <c r="AJ218" s="38"/>
      <c r="AK218" s="38"/>
    </row>
    <row r="219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38"/>
      <c r="AI219" s="38"/>
      <c r="AJ219" s="38"/>
      <c r="AK219" s="38"/>
    </row>
    <row r="220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  <c r="AH220" s="38"/>
      <c r="AI220" s="38"/>
      <c r="AJ220" s="38"/>
      <c r="AK220" s="38"/>
    </row>
    <row r="22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  <c r="AE221" s="38"/>
      <c r="AF221" s="38"/>
      <c r="AG221" s="38"/>
      <c r="AH221" s="38"/>
      <c r="AI221" s="38"/>
      <c r="AJ221" s="38"/>
      <c r="AK221" s="38"/>
    </row>
    <row r="222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  <c r="AG222" s="38"/>
      <c r="AH222" s="38"/>
      <c r="AI222" s="38"/>
      <c r="AJ222" s="38"/>
      <c r="AK222" s="38"/>
    </row>
    <row r="223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38"/>
      <c r="AI223" s="38"/>
      <c r="AJ223" s="38"/>
      <c r="AK223" s="38"/>
    </row>
    <row r="224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38"/>
      <c r="AJ224" s="38"/>
      <c r="AK224" s="38"/>
    </row>
    <row r="225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38"/>
      <c r="AJ225" s="38"/>
      <c r="AK225" s="38"/>
    </row>
    <row r="226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  <c r="AE226" s="38"/>
      <c r="AF226" s="38"/>
      <c r="AG226" s="38"/>
      <c r="AH226" s="38"/>
      <c r="AI226" s="38"/>
      <c r="AJ226" s="38"/>
      <c r="AK226" s="38"/>
    </row>
    <row r="227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  <c r="AE227" s="38"/>
      <c r="AF227" s="38"/>
      <c r="AG227" s="38"/>
      <c r="AH227" s="38"/>
      <c r="AI227" s="38"/>
      <c r="AJ227" s="38"/>
      <c r="AK227" s="38"/>
    </row>
    <row r="228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  <c r="AD228" s="38"/>
      <c r="AE228" s="38"/>
      <c r="AF228" s="38"/>
      <c r="AG228" s="38"/>
      <c r="AH228" s="38"/>
      <c r="AI228" s="38"/>
      <c r="AJ228" s="38"/>
      <c r="AK228" s="38"/>
    </row>
    <row r="229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  <c r="AD229" s="38"/>
      <c r="AE229" s="38"/>
      <c r="AF229" s="38"/>
      <c r="AG229" s="38"/>
      <c r="AH229" s="38"/>
      <c r="AI229" s="38"/>
      <c r="AJ229" s="38"/>
      <c r="AK229" s="38"/>
    </row>
    <row r="230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  <c r="AD230" s="38"/>
      <c r="AE230" s="38"/>
      <c r="AF230" s="38"/>
      <c r="AG230" s="38"/>
      <c r="AH230" s="38"/>
      <c r="AI230" s="38"/>
      <c r="AJ230" s="38"/>
      <c r="AK230" s="38"/>
    </row>
    <row r="23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  <c r="AD231" s="38"/>
      <c r="AE231" s="38"/>
      <c r="AF231" s="38"/>
      <c r="AG231" s="38"/>
      <c r="AH231" s="38"/>
      <c r="AI231" s="38"/>
      <c r="AJ231" s="38"/>
      <c r="AK231" s="38"/>
    </row>
    <row r="232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  <c r="AD232" s="38"/>
      <c r="AE232" s="38"/>
      <c r="AF232" s="38"/>
      <c r="AG232" s="38"/>
      <c r="AH232" s="38"/>
      <c r="AI232" s="38"/>
      <c r="AJ232" s="38"/>
      <c r="AK232" s="38"/>
    </row>
    <row r="233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  <c r="AD233" s="38"/>
      <c r="AE233" s="38"/>
      <c r="AF233" s="38"/>
      <c r="AG233" s="38"/>
      <c r="AH233" s="38"/>
      <c r="AI233" s="38"/>
      <c r="AJ233" s="38"/>
      <c r="AK233" s="38"/>
    </row>
    <row r="234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  <c r="AG234" s="38"/>
      <c r="AH234" s="38"/>
      <c r="AI234" s="38"/>
      <c r="AJ234" s="38"/>
      <c r="AK234" s="38"/>
    </row>
    <row r="235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  <c r="AD235" s="38"/>
      <c r="AE235" s="38"/>
      <c r="AF235" s="38"/>
      <c r="AG235" s="38"/>
      <c r="AH235" s="38"/>
      <c r="AI235" s="38"/>
      <c r="AJ235" s="38"/>
      <c r="AK235" s="38"/>
    </row>
    <row r="236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  <c r="AD236" s="38"/>
      <c r="AE236" s="38"/>
      <c r="AF236" s="38"/>
      <c r="AG236" s="38"/>
      <c r="AH236" s="38"/>
      <c r="AI236" s="38"/>
      <c r="AJ236" s="38"/>
      <c r="AK236" s="38"/>
    </row>
    <row r="237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  <c r="AD237" s="38"/>
      <c r="AE237" s="38"/>
      <c r="AF237" s="38"/>
      <c r="AG237" s="38"/>
      <c r="AH237" s="38"/>
      <c r="AI237" s="38"/>
      <c r="AJ237" s="38"/>
      <c r="AK237" s="38"/>
    </row>
    <row r="238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  <c r="AD238" s="38"/>
      <c r="AE238" s="38"/>
      <c r="AF238" s="38"/>
      <c r="AG238" s="38"/>
      <c r="AH238" s="38"/>
      <c r="AI238" s="38"/>
      <c r="AJ238" s="38"/>
      <c r="AK238" s="38"/>
    </row>
    <row r="239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  <c r="AD239" s="38"/>
      <c r="AE239" s="38"/>
      <c r="AF239" s="38"/>
      <c r="AG239" s="38"/>
      <c r="AH239" s="38"/>
      <c r="AI239" s="38"/>
      <c r="AJ239" s="38"/>
      <c r="AK239" s="38"/>
    </row>
    <row r="240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  <c r="AD240" s="38"/>
      <c r="AE240" s="38"/>
      <c r="AF240" s="38"/>
      <c r="AG240" s="38"/>
      <c r="AH240" s="38"/>
      <c r="AI240" s="38"/>
      <c r="AJ240" s="38"/>
      <c r="AK240" s="38"/>
    </row>
    <row r="24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  <c r="AD241" s="38"/>
      <c r="AE241" s="38"/>
      <c r="AF241" s="38"/>
      <c r="AG241" s="38"/>
      <c r="AH241" s="38"/>
      <c r="AI241" s="38"/>
      <c r="AJ241" s="38"/>
      <c r="AK241" s="38"/>
    </row>
    <row r="24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  <c r="AD242" s="38"/>
      <c r="AE242" s="38"/>
      <c r="AF242" s="38"/>
      <c r="AG242" s="38"/>
      <c r="AH242" s="38"/>
      <c r="AI242" s="38"/>
      <c r="AJ242" s="38"/>
      <c r="AK242" s="38"/>
    </row>
    <row r="243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  <c r="AD243" s="38"/>
      <c r="AE243" s="38"/>
      <c r="AF243" s="38"/>
      <c r="AG243" s="38"/>
      <c r="AH243" s="38"/>
      <c r="AI243" s="38"/>
      <c r="AJ243" s="38"/>
      <c r="AK243" s="38"/>
    </row>
    <row r="244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  <c r="AD244" s="38"/>
      <c r="AE244" s="38"/>
      <c r="AF244" s="38"/>
      <c r="AG244" s="38"/>
      <c r="AH244" s="38"/>
      <c r="AI244" s="38"/>
      <c r="AJ244" s="38"/>
      <c r="AK244" s="38"/>
    </row>
    <row r="245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  <c r="AD245" s="38"/>
      <c r="AE245" s="38"/>
      <c r="AF245" s="38"/>
      <c r="AG245" s="38"/>
      <c r="AH245" s="38"/>
      <c r="AI245" s="38"/>
      <c r="AJ245" s="38"/>
      <c r="AK245" s="38"/>
    </row>
    <row r="246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  <c r="AD246" s="38"/>
      <c r="AE246" s="38"/>
      <c r="AF246" s="38"/>
      <c r="AG246" s="38"/>
      <c r="AH246" s="38"/>
      <c r="AI246" s="38"/>
      <c r="AJ246" s="38"/>
      <c r="AK246" s="38"/>
    </row>
    <row r="247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  <c r="AD247" s="38"/>
      <c r="AE247" s="38"/>
      <c r="AF247" s="38"/>
      <c r="AG247" s="38"/>
      <c r="AH247" s="38"/>
      <c r="AI247" s="38"/>
      <c r="AJ247" s="38"/>
      <c r="AK247" s="38"/>
    </row>
    <row r="248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  <c r="AD248" s="38"/>
      <c r="AE248" s="38"/>
      <c r="AF248" s="38"/>
      <c r="AG248" s="38"/>
      <c r="AH248" s="38"/>
      <c r="AI248" s="38"/>
      <c r="AJ248" s="38"/>
      <c r="AK248" s="38"/>
    </row>
    <row r="249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  <c r="AD249" s="38"/>
      <c r="AE249" s="38"/>
      <c r="AF249" s="38"/>
      <c r="AG249" s="38"/>
      <c r="AH249" s="38"/>
      <c r="AI249" s="38"/>
      <c r="AJ249" s="38"/>
      <c r="AK249" s="38"/>
    </row>
    <row r="250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  <c r="AD250" s="38"/>
      <c r="AE250" s="38"/>
      <c r="AF250" s="38"/>
      <c r="AG250" s="38"/>
      <c r="AH250" s="38"/>
      <c r="AI250" s="38"/>
      <c r="AJ250" s="38"/>
      <c r="AK250" s="38"/>
    </row>
    <row r="25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  <c r="AD251" s="38"/>
      <c r="AE251" s="38"/>
      <c r="AF251" s="38"/>
      <c r="AG251" s="38"/>
      <c r="AH251" s="38"/>
      <c r="AI251" s="38"/>
      <c r="AJ251" s="38"/>
      <c r="AK251" s="38"/>
    </row>
    <row r="25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  <c r="AD252" s="38"/>
      <c r="AE252" s="38"/>
      <c r="AF252" s="38"/>
      <c r="AG252" s="38"/>
      <c r="AH252" s="38"/>
      <c r="AI252" s="38"/>
      <c r="AJ252" s="38"/>
      <c r="AK252" s="38"/>
    </row>
    <row r="253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  <c r="AD253" s="38"/>
      <c r="AE253" s="38"/>
      <c r="AF253" s="38"/>
      <c r="AG253" s="38"/>
      <c r="AH253" s="38"/>
      <c r="AI253" s="38"/>
      <c r="AJ253" s="38"/>
      <c r="AK253" s="38"/>
    </row>
    <row r="254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  <c r="AD254" s="38"/>
      <c r="AE254" s="38"/>
      <c r="AF254" s="38"/>
      <c r="AG254" s="38"/>
      <c r="AH254" s="38"/>
      <c r="AI254" s="38"/>
      <c r="AJ254" s="38"/>
      <c r="AK254" s="38"/>
    </row>
    <row r="255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  <c r="AD255" s="38"/>
      <c r="AE255" s="38"/>
      <c r="AF255" s="38"/>
      <c r="AG255" s="38"/>
      <c r="AH255" s="38"/>
      <c r="AI255" s="38"/>
      <c r="AJ255" s="38"/>
      <c r="AK255" s="38"/>
    </row>
    <row r="256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  <c r="AD256" s="38"/>
      <c r="AE256" s="38"/>
      <c r="AF256" s="38"/>
      <c r="AG256" s="38"/>
      <c r="AH256" s="38"/>
      <c r="AI256" s="38"/>
      <c r="AJ256" s="38"/>
      <c r="AK256" s="38"/>
    </row>
    <row r="257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  <c r="AD257" s="38"/>
      <c r="AE257" s="38"/>
      <c r="AF257" s="38"/>
      <c r="AG257" s="38"/>
      <c r="AH257" s="38"/>
      <c r="AI257" s="38"/>
      <c r="AJ257" s="38"/>
      <c r="AK257" s="38"/>
    </row>
    <row r="258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  <c r="AD258" s="38"/>
      <c r="AE258" s="38"/>
      <c r="AF258" s="38"/>
      <c r="AG258" s="38"/>
      <c r="AH258" s="38"/>
      <c r="AI258" s="38"/>
      <c r="AJ258" s="38"/>
      <c r="AK258" s="38"/>
    </row>
    <row r="259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8"/>
      <c r="AC259" s="38"/>
      <c r="AD259" s="38"/>
      <c r="AE259" s="38"/>
      <c r="AF259" s="38"/>
      <c r="AG259" s="38"/>
      <c r="AH259" s="38"/>
      <c r="AI259" s="38"/>
      <c r="AJ259" s="38"/>
      <c r="AK259" s="38"/>
    </row>
    <row r="260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  <c r="AC260" s="38"/>
      <c r="AD260" s="38"/>
      <c r="AE260" s="38"/>
      <c r="AF260" s="38"/>
      <c r="AG260" s="38"/>
      <c r="AH260" s="38"/>
      <c r="AI260" s="38"/>
      <c r="AJ260" s="38"/>
      <c r="AK260" s="38"/>
    </row>
    <row r="26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  <c r="AC261" s="38"/>
      <c r="AD261" s="38"/>
      <c r="AE261" s="38"/>
      <c r="AF261" s="38"/>
      <c r="AG261" s="38"/>
      <c r="AH261" s="38"/>
      <c r="AI261" s="38"/>
      <c r="AJ261" s="38"/>
      <c r="AK261" s="38"/>
    </row>
    <row r="26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8"/>
      <c r="AD262" s="38"/>
      <c r="AE262" s="38"/>
      <c r="AF262" s="38"/>
      <c r="AG262" s="38"/>
      <c r="AH262" s="38"/>
      <c r="AI262" s="38"/>
      <c r="AJ262" s="38"/>
      <c r="AK262" s="38"/>
    </row>
    <row r="263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  <c r="AD263" s="38"/>
      <c r="AE263" s="38"/>
      <c r="AF263" s="38"/>
      <c r="AG263" s="38"/>
      <c r="AH263" s="38"/>
      <c r="AI263" s="38"/>
      <c r="AJ263" s="38"/>
      <c r="AK263" s="38"/>
    </row>
    <row r="264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  <c r="AI264" s="38"/>
      <c r="AJ264" s="38"/>
      <c r="AK264" s="38"/>
    </row>
    <row r="265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38"/>
      <c r="AI265" s="38"/>
      <c r="AJ265" s="38"/>
      <c r="AK265" s="38"/>
    </row>
    <row r="266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38"/>
      <c r="AJ266" s="38"/>
      <c r="AK266" s="38"/>
    </row>
    <row r="267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H267" s="38"/>
      <c r="AI267" s="38"/>
      <c r="AJ267" s="38"/>
      <c r="AK267" s="38"/>
    </row>
    <row r="268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  <c r="AI268" s="38"/>
      <c r="AJ268" s="38"/>
      <c r="AK268" s="38"/>
    </row>
    <row r="269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38"/>
      <c r="AI269" s="38"/>
      <c r="AJ269" s="38"/>
      <c r="AK269" s="38"/>
    </row>
    <row r="270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  <c r="AI270" s="38"/>
      <c r="AJ270" s="38"/>
      <c r="AK270" s="38"/>
    </row>
    <row r="27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38"/>
      <c r="AJ271" s="38"/>
      <c r="AK271" s="38"/>
    </row>
    <row r="27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  <c r="AK272" s="38"/>
    </row>
    <row r="273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38"/>
      <c r="AI273" s="38"/>
      <c r="AJ273" s="38"/>
      <c r="AK273" s="38"/>
    </row>
    <row r="274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  <c r="AI274" s="38"/>
      <c r="AJ274" s="38"/>
      <c r="AK274" s="38"/>
    </row>
    <row r="275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  <c r="AI275" s="38"/>
      <c r="AJ275" s="38"/>
      <c r="AK275" s="38"/>
    </row>
    <row r="276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  <c r="AI276" s="38"/>
      <c r="AJ276" s="38"/>
      <c r="AK276" s="38"/>
    </row>
    <row r="277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38"/>
      <c r="AJ277" s="38"/>
      <c r="AK277" s="38"/>
    </row>
    <row r="278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  <c r="AI278" s="38"/>
      <c r="AJ278" s="38"/>
      <c r="AK278" s="38"/>
    </row>
    <row r="279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  <c r="AH279" s="38"/>
      <c r="AI279" s="38"/>
      <c r="AJ279" s="38"/>
      <c r="AK279" s="38"/>
    </row>
    <row r="280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38"/>
      <c r="AJ280" s="38"/>
      <c r="AK280" s="38"/>
    </row>
    <row r="28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  <c r="AI281" s="38"/>
      <c r="AJ281" s="38"/>
      <c r="AK281" s="38"/>
    </row>
    <row r="28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  <c r="AG282" s="38"/>
      <c r="AH282" s="38"/>
      <c r="AI282" s="38"/>
      <c r="AJ282" s="38"/>
      <c r="AK282" s="38"/>
    </row>
    <row r="283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38"/>
      <c r="AI283" s="38"/>
      <c r="AJ283" s="38"/>
      <c r="AK283" s="38"/>
    </row>
    <row r="284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38"/>
      <c r="AI284" s="38"/>
      <c r="AJ284" s="38"/>
      <c r="AK284" s="38"/>
    </row>
    <row r="285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  <c r="AI285" s="38"/>
      <c r="AJ285" s="38"/>
      <c r="AK285" s="38"/>
    </row>
    <row r="286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  <c r="AI286" s="38"/>
      <c r="AJ286" s="38"/>
      <c r="AK286" s="38"/>
    </row>
    <row r="287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38"/>
      <c r="AI287" s="38"/>
      <c r="AJ287" s="38"/>
      <c r="AK287" s="38"/>
    </row>
    <row r="288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38"/>
      <c r="AI288" s="38"/>
      <c r="AJ288" s="38"/>
      <c r="AK288" s="38"/>
    </row>
    <row r="289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38"/>
      <c r="AJ289" s="38"/>
      <c r="AK289" s="38"/>
    </row>
    <row r="290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  <c r="AH290" s="38"/>
      <c r="AI290" s="38"/>
      <c r="AJ290" s="38"/>
      <c r="AK290" s="38"/>
    </row>
    <row r="29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  <c r="AG291" s="38"/>
      <c r="AH291" s="38"/>
      <c r="AI291" s="38"/>
      <c r="AJ291" s="38"/>
      <c r="AK291" s="38"/>
    </row>
    <row r="29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  <c r="AG292" s="38"/>
      <c r="AH292" s="38"/>
      <c r="AI292" s="38"/>
      <c r="AJ292" s="38"/>
      <c r="AK292" s="38"/>
    </row>
    <row r="293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  <c r="AG293" s="38"/>
      <c r="AH293" s="38"/>
      <c r="AI293" s="38"/>
      <c r="AJ293" s="38"/>
      <c r="AK293" s="38"/>
    </row>
    <row r="294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  <c r="AF294" s="38"/>
      <c r="AG294" s="38"/>
      <c r="AH294" s="38"/>
      <c r="AI294" s="38"/>
      <c r="AJ294" s="38"/>
      <c r="AK294" s="38"/>
    </row>
    <row r="295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  <c r="AD295" s="38"/>
      <c r="AE295" s="38"/>
      <c r="AF295" s="38"/>
      <c r="AG295" s="38"/>
      <c r="AH295" s="38"/>
      <c r="AI295" s="38"/>
      <c r="AJ295" s="38"/>
      <c r="AK295" s="38"/>
    </row>
    <row r="296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  <c r="AD296" s="38"/>
      <c r="AE296" s="38"/>
      <c r="AF296" s="38"/>
      <c r="AG296" s="38"/>
      <c r="AH296" s="38"/>
      <c r="AI296" s="38"/>
      <c r="AJ296" s="38"/>
      <c r="AK296" s="38"/>
    </row>
    <row r="297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  <c r="AE297" s="38"/>
      <c r="AF297" s="38"/>
      <c r="AG297" s="38"/>
      <c r="AH297" s="38"/>
      <c r="AI297" s="38"/>
      <c r="AJ297" s="38"/>
      <c r="AK297" s="38"/>
    </row>
    <row r="298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  <c r="AE298" s="38"/>
      <c r="AF298" s="38"/>
      <c r="AG298" s="38"/>
      <c r="AH298" s="38"/>
      <c r="AI298" s="38"/>
      <c r="AJ298" s="38"/>
      <c r="AK298" s="38"/>
    </row>
    <row r="299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  <c r="AD299" s="38"/>
      <c r="AE299" s="38"/>
      <c r="AF299" s="38"/>
      <c r="AG299" s="38"/>
      <c r="AH299" s="38"/>
      <c r="AI299" s="38"/>
      <c r="AJ299" s="38"/>
      <c r="AK299" s="38"/>
    </row>
    <row r="300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  <c r="AD300" s="38"/>
      <c r="AE300" s="38"/>
      <c r="AF300" s="38"/>
      <c r="AG300" s="38"/>
      <c r="AH300" s="38"/>
      <c r="AI300" s="38"/>
      <c r="AJ300" s="38"/>
      <c r="AK300" s="38"/>
    </row>
    <row r="30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  <c r="AD301" s="38"/>
      <c r="AE301" s="38"/>
      <c r="AF301" s="38"/>
      <c r="AG301" s="38"/>
      <c r="AH301" s="38"/>
      <c r="AI301" s="38"/>
      <c r="AJ301" s="38"/>
      <c r="AK301" s="38"/>
    </row>
    <row r="30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38"/>
      <c r="AC302" s="38"/>
      <c r="AD302" s="38"/>
      <c r="AE302" s="38"/>
      <c r="AF302" s="38"/>
      <c r="AG302" s="38"/>
      <c r="AH302" s="38"/>
      <c r="AI302" s="38"/>
      <c r="AJ302" s="38"/>
      <c r="AK302" s="38"/>
    </row>
    <row r="303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  <c r="AB303" s="38"/>
      <c r="AC303" s="38"/>
      <c r="AD303" s="38"/>
      <c r="AE303" s="38"/>
      <c r="AF303" s="38"/>
      <c r="AG303" s="38"/>
      <c r="AH303" s="38"/>
      <c r="AI303" s="38"/>
      <c r="AJ303" s="38"/>
      <c r="AK303" s="38"/>
    </row>
    <row r="304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  <c r="AC304" s="38"/>
      <c r="AD304" s="38"/>
      <c r="AE304" s="38"/>
      <c r="AF304" s="38"/>
      <c r="AG304" s="38"/>
      <c r="AH304" s="38"/>
      <c r="AI304" s="38"/>
      <c r="AJ304" s="38"/>
      <c r="AK304" s="38"/>
    </row>
    <row r="305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  <c r="AC305" s="38"/>
      <c r="AD305" s="38"/>
      <c r="AE305" s="38"/>
      <c r="AF305" s="38"/>
      <c r="AG305" s="38"/>
      <c r="AH305" s="38"/>
      <c r="AI305" s="38"/>
      <c r="AJ305" s="38"/>
      <c r="AK305" s="38"/>
    </row>
    <row r="306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38"/>
      <c r="AC306" s="38"/>
      <c r="AD306" s="38"/>
      <c r="AE306" s="38"/>
      <c r="AF306" s="38"/>
      <c r="AG306" s="38"/>
      <c r="AH306" s="38"/>
      <c r="AI306" s="38"/>
      <c r="AJ306" s="38"/>
      <c r="AK306" s="38"/>
    </row>
    <row r="307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  <c r="AC307" s="38"/>
      <c r="AD307" s="38"/>
      <c r="AE307" s="38"/>
      <c r="AF307" s="38"/>
      <c r="AG307" s="38"/>
      <c r="AH307" s="38"/>
      <c r="AI307" s="38"/>
      <c r="AJ307" s="38"/>
      <c r="AK307" s="38"/>
    </row>
    <row r="308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38"/>
      <c r="AC308" s="38"/>
      <c r="AD308" s="38"/>
      <c r="AE308" s="38"/>
      <c r="AF308" s="38"/>
      <c r="AG308" s="38"/>
      <c r="AH308" s="38"/>
      <c r="AI308" s="38"/>
      <c r="AJ308" s="38"/>
      <c r="AK308" s="38"/>
    </row>
    <row r="309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38"/>
      <c r="AC309" s="38"/>
      <c r="AD309" s="38"/>
      <c r="AE309" s="38"/>
      <c r="AF309" s="38"/>
      <c r="AG309" s="38"/>
      <c r="AH309" s="38"/>
      <c r="AI309" s="38"/>
      <c r="AJ309" s="38"/>
      <c r="AK309" s="38"/>
    </row>
    <row r="310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  <c r="AC310" s="38"/>
      <c r="AD310" s="38"/>
      <c r="AE310" s="38"/>
      <c r="AF310" s="38"/>
      <c r="AG310" s="38"/>
      <c r="AH310" s="38"/>
      <c r="AI310" s="38"/>
      <c r="AJ310" s="38"/>
      <c r="AK310" s="38"/>
    </row>
    <row r="31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8"/>
      <c r="AC311" s="38"/>
      <c r="AD311" s="38"/>
      <c r="AE311" s="38"/>
      <c r="AF311" s="38"/>
      <c r="AG311" s="38"/>
      <c r="AH311" s="38"/>
      <c r="AI311" s="38"/>
      <c r="AJ311" s="38"/>
      <c r="AK311" s="38"/>
    </row>
    <row r="31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  <c r="AB312" s="38"/>
      <c r="AC312" s="38"/>
      <c r="AD312" s="38"/>
      <c r="AE312" s="38"/>
      <c r="AF312" s="38"/>
      <c r="AG312" s="38"/>
      <c r="AH312" s="38"/>
      <c r="AI312" s="38"/>
      <c r="AJ312" s="38"/>
      <c r="AK312" s="38"/>
    </row>
    <row r="313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  <c r="AB313" s="38"/>
      <c r="AC313" s="38"/>
      <c r="AD313" s="38"/>
      <c r="AE313" s="38"/>
      <c r="AF313" s="38"/>
      <c r="AG313" s="38"/>
      <c r="AH313" s="38"/>
      <c r="AI313" s="38"/>
      <c r="AJ313" s="38"/>
      <c r="AK313" s="38"/>
    </row>
    <row r="314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  <c r="AC314" s="38"/>
      <c r="AD314" s="38"/>
      <c r="AE314" s="38"/>
      <c r="AF314" s="38"/>
      <c r="AG314" s="38"/>
      <c r="AH314" s="38"/>
      <c r="AI314" s="38"/>
      <c r="AJ314" s="38"/>
      <c r="AK314" s="38"/>
    </row>
    <row r="315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  <c r="AB315" s="38"/>
      <c r="AC315" s="38"/>
      <c r="AD315" s="38"/>
      <c r="AE315" s="38"/>
      <c r="AF315" s="38"/>
      <c r="AG315" s="38"/>
      <c r="AH315" s="38"/>
      <c r="AI315" s="38"/>
      <c r="AJ315" s="38"/>
      <c r="AK315" s="38"/>
    </row>
    <row r="316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  <c r="AB316" s="38"/>
      <c r="AC316" s="38"/>
      <c r="AD316" s="38"/>
      <c r="AE316" s="38"/>
      <c r="AF316" s="38"/>
      <c r="AG316" s="38"/>
      <c r="AH316" s="38"/>
      <c r="AI316" s="38"/>
      <c r="AJ316" s="38"/>
      <c r="AK316" s="38"/>
    </row>
    <row r="317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  <c r="AB317" s="38"/>
      <c r="AC317" s="38"/>
      <c r="AD317" s="38"/>
      <c r="AE317" s="38"/>
      <c r="AF317" s="38"/>
      <c r="AG317" s="38"/>
      <c r="AH317" s="38"/>
      <c r="AI317" s="38"/>
      <c r="AJ317" s="38"/>
      <c r="AK317" s="38"/>
    </row>
    <row r="318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  <c r="AC318" s="38"/>
      <c r="AD318" s="38"/>
      <c r="AE318" s="38"/>
      <c r="AF318" s="38"/>
      <c r="AG318" s="38"/>
      <c r="AH318" s="38"/>
      <c r="AI318" s="38"/>
      <c r="AJ318" s="38"/>
      <c r="AK318" s="38"/>
    </row>
    <row r="319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  <c r="AB319" s="38"/>
      <c r="AC319" s="38"/>
      <c r="AD319" s="38"/>
      <c r="AE319" s="38"/>
      <c r="AF319" s="38"/>
      <c r="AG319" s="38"/>
      <c r="AH319" s="38"/>
      <c r="AI319" s="38"/>
      <c r="AJ319" s="38"/>
      <c r="AK319" s="38"/>
    </row>
    <row r="320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  <c r="AB320" s="38"/>
      <c r="AC320" s="38"/>
      <c r="AD320" s="38"/>
      <c r="AE320" s="38"/>
      <c r="AF320" s="38"/>
      <c r="AG320" s="38"/>
      <c r="AH320" s="38"/>
      <c r="AI320" s="38"/>
      <c r="AJ320" s="38"/>
      <c r="AK320" s="38"/>
    </row>
    <row r="32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  <c r="AB321" s="38"/>
      <c r="AC321" s="38"/>
      <c r="AD321" s="38"/>
      <c r="AE321" s="38"/>
      <c r="AF321" s="38"/>
      <c r="AG321" s="38"/>
      <c r="AH321" s="38"/>
      <c r="AI321" s="38"/>
      <c r="AJ321" s="38"/>
      <c r="AK321" s="38"/>
    </row>
    <row r="32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  <c r="AC322" s="38"/>
      <c r="AD322" s="38"/>
      <c r="AE322" s="38"/>
      <c r="AF322" s="38"/>
      <c r="AG322" s="38"/>
      <c r="AH322" s="38"/>
      <c r="AI322" s="38"/>
      <c r="AJ322" s="38"/>
      <c r="AK322" s="38"/>
    </row>
    <row r="323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  <c r="AB323" s="38"/>
      <c r="AC323" s="38"/>
      <c r="AD323" s="38"/>
      <c r="AE323" s="38"/>
      <c r="AF323" s="38"/>
      <c r="AG323" s="38"/>
      <c r="AH323" s="38"/>
      <c r="AI323" s="38"/>
      <c r="AJ323" s="38"/>
      <c r="AK323" s="38"/>
    </row>
    <row r="324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  <c r="AB324" s="38"/>
      <c r="AC324" s="38"/>
      <c r="AD324" s="38"/>
      <c r="AE324" s="38"/>
      <c r="AF324" s="38"/>
      <c r="AG324" s="38"/>
      <c r="AH324" s="38"/>
      <c r="AI324" s="38"/>
      <c r="AJ324" s="38"/>
      <c r="AK324" s="38"/>
    </row>
    <row r="325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  <c r="AB325" s="38"/>
      <c r="AC325" s="38"/>
      <c r="AD325" s="38"/>
      <c r="AE325" s="38"/>
      <c r="AF325" s="38"/>
      <c r="AG325" s="38"/>
      <c r="AH325" s="38"/>
      <c r="AI325" s="38"/>
      <c r="AJ325" s="38"/>
      <c r="AK325" s="38"/>
    </row>
    <row r="326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  <c r="AB326" s="38"/>
      <c r="AC326" s="38"/>
      <c r="AD326" s="38"/>
      <c r="AE326" s="38"/>
      <c r="AF326" s="38"/>
      <c r="AG326" s="38"/>
      <c r="AH326" s="38"/>
      <c r="AI326" s="38"/>
      <c r="AJ326" s="38"/>
      <c r="AK326" s="38"/>
    </row>
    <row r="327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  <c r="AB327" s="38"/>
      <c r="AC327" s="38"/>
      <c r="AD327" s="38"/>
      <c r="AE327" s="38"/>
      <c r="AF327" s="38"/>
      <c r="AG327" s="38"/>
      <c r="AH327" s="38"/>
      <c r="AI327" s="38"/>
      <c r="AJ327" s="38"/>
      <c r="AK327" s="38"/>
    </row>
    <row r="328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  <c r="AB328" s="38"/>
      <c r="AC328" s="38"/>
      <c r="AD328" s="38"/>
      <c r="AE328" s="38"/>
      <c r="AF328" s="38"/>
      <c r="AG328" s="38"/>
      <c r="AH328" s="38"/>
      <c r="AI328" s="38"/>
      <c r="AJ328" s="38"/>
      <c r="AK328" s="38"/>
    </row>
    <row r="329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  <c r="AB329" s="38"/>
      <c r="AC329" s="38"/>
      <c r="AD329" s="38"/>
      <c r="AE329" s="38"/>
      <c r="AF329" s="38"/>
      <c r="AG329" s="38"/>
      <c r="AH329" s="38"/>
      <c r="AI329" s="38"/>
      <c r="AJ329" s="38"/>
      <c r="AK329" s="38"/>
    </row>
    <row r="330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38"/>
      <c r="AC330" s="38"/>
      <c r="AD330" s="38"/>
      <c r="AE330" s="38"/>
      <c r="AF330" s="38"/>
      <c r="AG330" s="38"/>
      <c r="AH330" s="38"/>
      <c r="AI330" s="38"/>
      <c r="AJ330" s="38"/>
      <c r="AK330" s="38"/>
    </row>
    <row r="33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  <c r="AB331" s="38"/>
      <c r="AC331" s="38"/>
      <c r="AD331" s="38"/>
      <c r="AE331" s="38"/>
      <c r="AF331" s="38"/>
      <c r="AG331" s="38"/>
      <c r="AH331" s="38"/>
      <c r="AI331" s="38"/>
      <c r="AJ331" s="38"/>
      <c r="AK331" s="38"/>
    </row>
    <row r="33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  <c r="AB332" s="38"/>
      <c r="AC332" s="38"/>
      <c r="AD332" s="38"/>
      <c r="AE332" s="38"/>
      <c r="AF332" s="38"/>
      <c r="AG332" s="38"/>
      <c r="AH332" s="38"/>
      <c r="AI332" s="38"/>
      <c r="AJ332" s="38"/>
      <c r="AK332" s="38"/>
    </row>
    <row r="333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  <c r="AB333" s="38"/>
      <c r="AC333" s="38"/>
      <c r="AD333" s="38"/>
      <c r="AE333" s="38"/>
      <c r="AF333" s="38"/>
      <c r="AG333" s="38"/>
      <c r="AH333" s="38"/>
      <c r="AI333" s="38"/>
      <c r="AJ333" s="38"/>
      <c r="AK333" s="38"/>
    </row>
    <row r="334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38"/>
      <c r="AC334" s="38"/>
      <c r="AD334" s="38"/>
      <c r="AE334" s="38"/>
      <c r="AF334" s="38"/>
      <c r="AG334" s="38"/>
      <c r="AH334" s="38"/>
      <c r="AI334" s="38"/>
      <c r="AJ334" s="38"/>
      <c r="AK334" s="38"/>
    </row>
    <row r="335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  <c r="AB335" s="38"/>
      <c r="AC335" s="38"/>
      <c r="AD335" s="38"/>
      <c r="AE335" s="38"/>
      <c r="AF335" s="38"/>
      <c r="AG335" s="38"/>
      <c r="AH335" s="38"/>
      <c r="AI335" s="38"/>
      <c r="AJ335" s="38"/>
      <c r="AK335" s="38"/>
    </row>
    <row r="336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  <c r="AB336" s="38"/>
      <c r="AC336" s="38"/>
      <c r="AD336" s="38"/>
      <c r="AE336" s="38"/>
      <c r="AF336" s="38"/>
      <c r="AG336" s="38"/>
      <c r="AH336" s="38"/>
      <c r="AI336" s="38"/>
      <c r="AJ336" s="38"/>
      <c r="AK336" s="38"/>
    </row>
    <row r="337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38"/>
      <c r="AC337" s="38"/>
      <c r="AD337" s="38"/>
      <c r="AE337" s="38"/>
      <c r="AF337" s="38"/>
      <c r="AG337" s="38"/>
      <c r="AH337" s="38"/>
      <c r="AI337" s="38"/>
      <c r="AJ337" s="38"/>
      <c r="AK337" s="38"/>
    </row>
    <row r="338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38"/>
      <c r="AC338" s="38"/>
      <c r="AD338" s="38"/>
      <c r="AE338" s="38"/>
      <c r="AF338" s="38"/>
      <c r="AG338" s="38"/>
      <c r="AH338" s="38"/>
      <c r="AI338" s="38"/>
      <c r="AJ338" s="38"/>
      <c r="AK338" s="38"/>
    </row>
    <row r="339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  <c r="AB339" s="38"/>
      <c r="AC339" s="38"/>
      <c r="AD339" s="38"/>
      <c r="AE339" s="38"/>
      <c r="AF339" s="38"/>
      <c r="AG339" s="38"/>
      <c r="AH339" s="38"/>
      <c r="AI339" s="38"/>
      <c r="AJ339" s="38"/>
      <c r="AK339" s="38"/>
    </row>
    <row r="340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  <c r="AB340" s="38"/>
      <c r="AC340" s="38"/>
      <c r="AD340" s="38"/>
      <c r="AE340" s="38"/>
      <c r="AF340" s="38"/>
      <c r="AG340" s="38"/>
      <c r="AH340" s="38"/>
      <c r="AI340" s="38"/>
      <c r="AJ340" s="38"/>
      <c r="AK340" s="38"/>
    </row>
    <row r="34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  <c r="AB341" s="38"/>
      <c r="AC341" s="38"/>
      <c r="AD341" s="38"/>
      <c r="AE341" s="38"/>
      <c r="AF341" s="38"/>
      <c r="AG341" s="38"/>
      <c r="AH341" s="38"/>
      <c r="AI341" s="38"/>
      <c r="AJ341" s="38"/>
      <c r="AK341" s="38"/>
    </row>
    <row r="34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  <c r="AB342" s="38"/>
      <c r="AC342" s="38"/>
      <c r="AD342" s="38"/>
      <c r="AE342" s="38"/>
      <c r="AF342" s="38"/>
      <c r="AG342" s="38"/>
      <c r="AH342" s="38"/>
      <c r="AI342" s="38"/>
      <c r="AJ342" s="38"/>
      <c r="AK342" s="38"/>
    </row>
    <row r="343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  <c r="AB343" s="38"/>
      <c r="AC343" s="38"/>
      <c r="AD343" s="38"/>
      <c r="AE343" s="38"/>
      <c r="AF343" s="38"/>
      <c r="AG343" s="38"/>
      <c r="AH343" s="38"/>
      <c r="AI343" s="38"/>
      <c r="AJ343" s="38"/>
      <c r="AK343" s="38"/>
    </row>
    <row r="344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38"/>
      <c r="AC344" s="38"/>
      <c r="AD344" s="38"/>
      <c r="AE344" s="38"/>
      <c r="AF344" s="38"/>
      <c r="AG344" s="38"/>
      <c r="AH344" s="38"/>
      <c r="AI344" s="38"/>
      <c r="AJ344" s="38"/>
      <c r="AK344" s="38"/>
    </row>
    <row r="345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  <c r="AB345" s="38"/>
      <c r="AC345" s="38"/>
      <c r="AD345" s="38"/>
      <c r="AE345" s="38"/>
      <c r="AF345" s="38"/>
      <c r="AG345" s="38"/>
      <c r="AH345" s="38"/>
      <c r="AI345" s="38"/>
      <c r="AJ345" s="38"/>
      <c r="AK345" s="38"/>
    </row>
    <row r="346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38"/>
      <c r="AC346" s="38"/>
      <c r="AD346" s="38"/>
      <c r="AE346" s="38"/>
      <c r="AF346" s="38"/>
      <c r="AG346" s="38"/>
      <c r="AH346" s="38"/>
      <c r="AI346" s="38"/>
      <c r="AJ346" s="38"/>
      <c r="AK346" s="38"/>
    </row>
    <row r="347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  <c r="AB347" s="38"/>
      <c r="AC347" s="38"/>
      <c r="AD347" s="38"/>
      <c r="AE347" s="38"/>
      <c r="AF347" s="38"/>
      <c r="AG347" s="38"/>
      <c r="AH347" s="38"/>
      <c r="AI347" s="38"/>
      <c r="AJ347" s="38"/>
      <c r="AK347" s="38"/>
    </row>
    <row r="348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  <c r="AB348" s="38"/>
      <c r="AC348" s="38"/>
      <c r="AD348" s="38"/>
      <c r="AE348" s="38"/>
      <c r="AF348" s="38"/>
      <c r="AG348" s="38"/>
      <c r="AH348" s="38"/>
      <c r="AI348" s="38"/>
      <c r="AJ348" s="38"/>
      <c r="AK348" s="38"/>
    </row>
    <row r="349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  <c r="AC349" s="38"/>
      <c r="AD349" s="38"/>
      <c r="AE349" s="38"/>
      <c r="AF349" s="38"/>
      <c r="AG349" s="38"/>
      <c r="AH349" s="38"/>
      <c r="AI349" s="38"/>
      <c r="AJ349" s="38"/>
      <c r="AK349" s="38"/>
    </row>
    <row r="350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  <c r="AB350" s="38"/>
      <c r="AC350" s="38"/>
      <c r="AD350" s="38"/>
      <c r="AE350" s="38"/>
      <c r="AF350" s="38"/>
      <c r="AG350" s="38"/>
      <c r="AH350" s="38"/>
      <c r="AI350" s="38"/>
      <c r="AJ350" s="38"/>
      <c r="AK350" s="38"/>
    </row>
    <row r="35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  <c r="AB351" s="38"/>
      <c r="AC351" s="38"/>
      <c r="AD351" s="38"/>
      <c r="AE351" s="38"/>
      <c r="AF351" s="38"/>
      <c r="AG351" s="38"/>
      <c r="AH351" s="38"/>
      <c r="AI351" s="38"/>
      <c r="AJ351" s="38"/>
      <c r="AK351" s="38"/>
    </row>
    <row r="35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38"/>
      <c r="AC352" s="38"/>
      <c r="AD352" s="38"/>
      <c r="AE352" s="38"/>
      <c r="AF352" s="38"/>
      <c r="AG352" s="38"/>
      <c r="AH352" s="38"/>
      <c r="AI352" s="38"/>
      <c r="AJ352" s="38"/>
      <c r="AK352" s="38"/>
    </row>
    <row r="353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  <c r="AB353" s="38"/>
      <c r="AC353" s="38"/>
      <c r="AD353" s="38"/>
      <c r="AE353" s="38"/>
      <c r="AF353" s="38"/>
      <c r="AG353" s="38"/>
      <c r="AH353" s="38"/>
      <c r="AI353" s="38"/>
      <c r="AJ353" s="38"/>
      <c r="AK353" s="38"/>
    </row>
    <row r="354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38"/>
      <c r="AC354" s="38"/>
      <c r="AD354" s="38"/>
      <c r="AE354" s="38"/>
      <c r="AF354" s="38"/>
      <c r="AG354" s="38"/>
      <c r="AH354" s="38"/>
      <c r="AI354" s="38"/>
      <c r="AJ354" s="38"/>
      <c r="AK354" s="38"/>
    </row>
    <row r="355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  <c r="AB355" s="38"/>
      <c r="AC355" s="38"/>
      <c r="AD355" s="38"/>
      <c r="AE355" s="38"/>
      <c r="AF355" s="38"/>
      <c r="AG355" s="38"/>
      <c r="AH355" s="38"/>
      <c r="AI355" s="38"/>
      <c r="AJ355" s="38"/>
      <c r="AK355" s="38"/>
    </row>
    <row r="356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  <c r="AB356" s="38"/>
      <c r="AC356" s="38"/>
      <c r="AD356" s="38"/>
      <c r="AE356" s="38"/>
      <c r="AF356" s="38"/>
      <c r="AG356" s="38"/>
      <c r="AH356" s="38"/>
      <c r="AI356" s="38"/>
      <c r="AJ356" s="38"/>
      <c r="AK356" s="38"/>
    </row>
    <row r="357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  <c r="AB357" s="38"/>
      <c r="AC357" s="38"/>
      <c r="AD357" s="38"/>
      <c r="AE357" s="38"/>
      <c r="AF357" s="38"/>
      <c r="AG357" s="38"/>
      <c r="AH357" s="38"/>
      <c r="AI357" s="38"/>
      <c r="AJ357" s="38"/>
      <c r="AK357" s="38"/>
    </row>
    <row r="358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38"/>
      <c r="AC358" s="38"/>
      <c r="AD358" s="38"/>
      <c r="AE358" s="38"/>
      <c r="AF358" s="38"/>
      <c r="AG358" s="38"/>
      <c r="AH358" s="38"/>
      <c r="AI358" s="38"/>
      <c r="AJ358" s="38"/>
      <c r="AK358" s="38"/>
    </row>
    <row r="359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  <c r="AB359" s="38"/>
      <c r="AC359" s="38"/>
      <c r="AD359" s="38"/>
      <c r="AE359" s="38"/>
      <c r="AF359" s="38"/>
      <c r="AG359" s="38"/>
      <c r="AH359" s="38"/>
      <c r="AI359" s="38"/>
      <c r="AJ359" s="38"/>
      <c r="AK359" s="38"/>
    </row>
    <row r="360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38"/>
      <c r="AC360" s="38"/>
      <c r="AD360" s="38"/>
      <c r="AE360" s="38"/>
      <c r="AF360" s="38"/>
      <c r="AG360" s="38"/>
      <c r="AH360" s="38"/>
      <c r="AI360" s="38"/>
      <c r="AJ360" s="38"/>
      <c r="AK360" s="38"/>
    </row>
    <row r="36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  <c r="AB361" s="38"/>
      <c r="AC361" s="38"/>
      <c r="AD361" s="38"/>
      <c r="AE361" s="38"/>
      <c r="AF361" s="38"/>
      <c r="AG361" s="38"/>
      <c r="AH361" s="38"/>
      <c r="AI361" s="38"/>
      <c r="AJ361" s="38"/>
      <c r="AK361" s="38"/>
    </row>
    <row r="36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8"/>
      <c r="AC362" s="38"/>
      <c r="AD362" s="38"/>
      <c r="AE362" s="38"/>
      <c r="AF362" s="38"/>
      <c r="AG362" s="38"/>
      <c r="AH362" s="38"/>
      <c r="AI362" s="38"/>
      <c r="AJ362" s="38"/>
      <c r="AK362" s="38"/>
    </row>
    <row r="363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  <c r="AB363" s="38"/>
      <c r="AC363" s="38"/>
      <c r="AD363" s="38"/>
      <c r="AE363" s="38"/>
      <c r="AF363" s="38"/>
      <c r="AG363" s="38"/>
      <c r="AH363" s="38"/>
      <c r="AI363" s="38"/>
      <c r="AJ363" s="38"/>
      <c r="AK363" s="38"/>
    </row>
    <row r="364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  <c r="AB364" s="38"/>
      <c r="AC364" s="38"/>
      <c r="AD364" s="38"/>
      <c r="AE364" s="38"/>
      <c r="AF364" s="38"/>
      <c r="AG364" s="38"/>
      <c r="AH364" s="38"/>
      <c r="AI364" s="38"/>
      <c r="AJ364" s="38"/>
      <c r="AK364" s="38"/>
    </row>
    <row r="365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  <c r="AB365" s="38"/>
      <c r="AC365" s="38"/>
      <c r="AD365" s="38"/>
      <c r="AE365" s="38"/>
      <c r="AF365" s="38"/>
      <c r="AG365" s="38"/>
      <c r="AH365" s="38"/>
      <c r="AI365" s="38"/>
      <c r="AJ365" s="38"/>
      <c r="AK365" s="38"/>
    </row>
    <row r="366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  <c r="AB366" s="38"/>
      <c r="AC366" s="38"/>
      <c r="AD366" s="38"/>
      <c r="AE366" s="38"/>
      <c r="AF366" s="38"/>
      <c r="AG366" s="38"/>
      <c r="AH366" s="38"/>
      <c r="AI366" s="38"/>
      <c r="AJ366" s="38"/>
      <c r="AK366" s="38"/>
    </row>
    <row r="367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38"/>
      <c r="AC367" s="38"/>
      <c r="AD367" s="38"/>
      <c r="AE367" s="38"/>
      <c r="AF367" s="38"/>
      <c r="AG367" s="38"/>
      <c r="AH367" s="38"/>
      <c r="AI367" s="38"/>
      <c r="AJ367" s="38"/>
      <c r="AK367" s="38"/>
    </row>
    <row r="368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  <c r="AC368" s="38"/>
      <c r="AD368" s="38"/>
      <c r="AE368" s="38"/>
      <c r="AF368" s="38"/>
      <c r="AG368" s="38"/>
      <c r="AH368" s="38"/>
      <c r="AI368" s="38"/>
      <c r="AJ368" s="38"/>
      <c r="AK368" s="38"/>
    </row>
    <row r="369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38"/>
      <c r="AC369" s="38"/>
      <c r="AD369" s="38"/>
      <c r="AE369" s="38"/>
      <c r="AF369" s="38"/>
      <c r="AG369" s="38"/>
      <c r="AH369" s="38"/>
      <c r="AI369" s="38"/>
      <c r="AJ369" s="38"/>
      <c r="AK369" s="38"/>
    </row>
    <row r="370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38"/>
      <c r="AC370" s="38"/>
      <c r="AD370" s="38"/>
      <c r="AE370" s="38"/>
      <c r="AF370" s="38"/>
      <c r="AG370" s="38"/>
      <c r="AH370" s="38"/>
      <c r="AI370" s="38"/>
      <c r="AJ370" s="38"/>
      <c r="AK370" s="38"/>
    </row>
    <row r="37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8"/>
      <c r="AC371" s="38"/>
      <c r="AD371" s="38"/>
      <c r="AE371" s="38"/>
      <c r="AF371" s="38"/>
      <c r="AG371" s="38"/>
      <c r="AH371" s="38"/>
      <c r="AI371" s="38"/>
      <c r="AJ371" s="38"/>
      <c r="AK371" s="38"/>
    </row>
    <row r="37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  <c r="AB372" s="38"/>
      <c r="AC372" s="38"/>
      <c r="AD372" s="38"/>
      <c r="AE372" s="38"/>
      <c r="AF372" s="38"/>
      <c r="AG372" s="38"/>
      <c r="AH372" s="38"/>
      <c r="AI372" s="38"/>
      <c r="AJ372" s="38"/>
      <c r="AK372" s="38"/>
    </row>
    <row r="373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  <c r="AC373" s="38"/>
      <c r="AD373" s="38"/>
      <c r="AE373" s="38"/>
      <c r="AF373" s="38"/>
      <c r="AG373" s="38"/>
      <c r="AH373" s="38"/>
      <c r="AI373" s="38"/>
      <c r="AJ373" s="38"/>
      <c r="AK373" s="38"/>
    </row>
    <row r="374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  <c r="AC374" s="38"/>
      <c r="AD374" s="38"/>
      <c r="AE374" s="38"/>
      <c r="AF374" s="38"/>
      <c r="AG374" s="38"/>
      <c r="AH374" s="38"/>
      <c r="AI374" s="38"/>
      <c r="AJ374" s="38"/>
      <c r="AK374" s="38"/>
    </row>
    <row r="375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  <c r="AB375" s="38"/>
      <c r="AC375" s="38"/>
      <c r="AD375" s="38"/>
      <c r="AE375" s="38"/>
      <c r="AF375" s="38"/>
      <c r="AG375" s="38"/>
      <c r="AH375" s="38"/>
      <c r="AI375" s="38"/>
      <c r="AJ375" s="38"/>
      <c r="AK375" s="38"/>
    </row>
    <row r="376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  <c r="AB376" s="38"/>
      <c r="AC376" s="38"/>
      <c r="AD376" s="38"/>
      <c r="AE376" s="38"/>
      <c r="AF376" s="38"/>
      <c r="AG376" s="38"/>
      <c r="AH376" s="38"/>
      <c r="AI376" s="38"/>
      <c r="AJ376" s="38"/>
      <c r="AK376" s="38"/>
    </row>
    <row r="377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  <c r="AB377" s="38"/>
      <c r="AC377" s="38"/>
      <c r="AD377" s="38"/>
      <c r="AE377" s="38"/>
      <c r="AF377" s="38"/>
      <c r="AG377" s="38"/>
      <c r="AH377" s="38"/>
      <c r="AI377" s="38"/>
      <c r="AJ377" s="38"/>
      <c r="AK377" s="38"/>
    </row>
    <row r="378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  <c r="AB378" s="38"/>
      <c r="AC378" s="38"/>
      <c r="AD378" s="38"/>
      <c r="AE378" s="38"/>
      <c r="AF378" s="38"/>
      <c r="AG378" s="38"/>
      <c r="AH378" s="38"/>
      <c r="AI378" s="38"/>
      <c r="AJ378" s="38"/>
      <c r="AK378" s="38"/>
    </row>
    <row r="379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  <c r="AB379" s="38"/>
      <c r="AC379" s="38"/>
      <c r="AD379" s="38"/>
      <c r="AE379" s="38"/>
      <c r="AF379" s="38"/>
      <c r="AG379" s="38"/>
      <c r="AH379" s="38"/>
      <c r="AI379" s="38"/>
      <c r="AJ379" s="38"/>
      <c r="AK379" s="38"/>
    </row>
    <row r="380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  <c r="AB380" s="38"/>
      <c r="AC380" s="38"/>
      <c r="AD380" s="38"/>
      <c r="AE380" s="38"/>
      <c r="AF380" s="38"/>
      <c r="AG380" s="38"/>
      <c r="AH380" s="38"/>
      <c r="AI380" s="38"/>
      <c r="AJ380" s="38"/>
      <c r="AK380" s="38"/>
    </row>
    <row r="38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  <c r="AB381" s="38"/>
      <c r="AC381" s="38"/>
      <c r="AD381" s="38"/>
      <c r="AE381" s="38"/>
      <c r="AF381" s="38"/>
      <c r="AG381" s="38"/>
      <c r="AH381" s="38"/>
      <c r="AI381" s="38"/>
      <c r="AJ381" s="38"/>
      <c r="AK381" s="38"/>
    </row>
    <row r="38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  <c r="AB382" s="38"/>
      <c r="AC382" s="38"/>
      <c r="AD382" s="38"/>
      <c r="AE382" s="38"/>
      <c r="AF382" s="38"/>
      <c r="AG382" s="38"/>
      <c r="AH382" s="38"/>
      <c r="AI382" s="38"/>
      <c r="AJ382" s="38"/>
      <c r="AK382" s="38"/>
    </row>
    <row r="383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  <c r="AB383" s="38"/>
      <c r="AC383" s="38"/>
      <c r="AD383" s="38"/>
      <c r="AE383" s="38"/>
      <c r="AF383" s="38"/>
      <c r="AG383" s="38"/>
      <c r="AH383" s="38"/>
      <c r="AI383" s="38"/>
      <c r="AJ383" s="38"/>
      <c r="AK383" s="38"/>
    </row>
    <row r="384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  <c r="AB384" s="38"/>
      <c r="AC384" s="38"/>
      <c r="AD384" s="38"/>
      <c r="AE384" s="38"/>
      <c r="AF384" s="38"/>
      <c r="AG384" s="38"/>
      <c r="AH384" s="38"/>
      <c r="AI384" s="38"/>
      <c r="AJ384" s="38"/>
      <c r="AK384" s="38"/>
    </row>
    <row r="385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  <c r="AB385" s="38"/>
      <c r="AC385" s="38"/>
      <c r="AD385" s="38"/>
      <c r="AE385" s="38"/>
      <c r="AF385" s="38"/>
      <c r="AG385" s="38"/>
      <c r="AH385" s="38"/>
      <c r="AI385" s="38"/>
      <c r="AJ385" s="38"/>
      <c r="AK385" s="38"/>
    </row>
    <row r="386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  <c r="AB386" s="38"/>
      <c r="AC386" s="38"/>
      <c r="AD386" s="38"/>
      <c r="AE386" s="38"/>
      <c r="AF386" s="38"/>
      <c r="AG386" s="38"/>
      <c r="AH386" s="38"/>
      <c r="AI386" s="38"/>
      <c r="AJ386" s="38"/>
      <c r="AK386" s="38"/>
    </row>
    <row r="387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  <c r="AB387" s="38"/>
      <c r="AC387" s="38"/>
      <c r="AD387" s="38"/>
      <c r="AE387" s="38"/>
      <c r="AF387" s="38"/>
      <c r="AG387" s="38"/>
      <c r="AH387" s="38"/>
      <c r="AI387" s="38"/>
      <c r="AJ387" s="38"/>
      <c r="AK387" s="38"/>
    </row>
    <row r="388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  <c r="AB388" s="38"/>
      <c r="AC388" s="38"/>
      <c r="AD388" s="38"/>
      <c r="AE388" s="38"/>
      <c r="AF388" s="38"/>
      <c r="AG388" s="38"/>
      <c r="AH388" s="38"/>
      <c r="AI388" s="38"/>
      <c r="AJ388" s="38"/>
      <c r="AK388" s="38"/>
    </row>
    <row r="389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  <c r="AB389" s="38"/>
      <c r="AC389" s="38"/>
      <c r="AD389" s="38"/>
      <c r="AE389" s="38"/>
      <c r="AF389" s="38"/>
      <c r="AG389" s="38"/>
      <c r="AH389" s="38"/>
      <c r="AI389" s="38"/>
      <c r="AJ389" s="38"/>
      <c r="AK389" s="38"/>
    </row>
    <row r="390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  <c r="AB390" s="38"/>
      <c r="AC390" s="38"/>
      <c r="AD390" s="38"/>
      <c r="AE390" s="38"/>
      <c r="AF390" s="38"/>
      <c r="AG390" s="38"/>
      <c r="AH390" s="38"/>
      <c r="AI390" s="38"/>
      <c r="AJ390" s="38"/>
      <c r="AK390" s="38"/>
    </row>
    <row r="39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  <c r="AB391" s="38"/>
      <c r="AC391" s="38"/>
      <c r="AD391" s="38"/>
      <c r="AE391" s="38"/>
      <c r="AF391" s="38"/>
      <c r="AG391" s="38"/>
      <c r="AH391" s="38"/>
      <c r="AI391" s="38"/>
      <c r="AJ391" s="38"/>
      <c r="AK391" s="38"/>
    </row>
    <row r="39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  <c r="AB392" s="38"/>
      <c r="AC392" s="38"/>
      <c r="AD392" s="38"/>
      <c r="AE392" s="38"/>
      <c r="AF392" s="38"/>
      <c r="AG392" s="38"/>
      <c r="AH392" s="38"/>
      <c r="AI392" s="38"/>
      <c r="AJ392" s="38"/>
      <c r="AK392" s="38"/>
    </row>
    <row r="393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  <c r="AB393" s="38"/>
      <c r="AC393" s="38"/>
      <c r="AD393" s="38"/>
      <c r="AE393" s="38"/>
      <c r="AF393" s="38"/>
      <c r="AG393" s="38"/>
      <c r="AH393" s="38"/>
      <c r="AI393" s="38"/>
      <c r="AJ393" s="38"/>
      <c r="AK393" s="38"/>
    </row>
    <row r="394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  <c r="AB394" s="38"/>
      <c r="AC394" s="38"/>
      <c r="AD394" s="38"/>
      <c r="AE394" s="38"/>
      <c r="AF394" s="38"/>
      <c r="AG394" s="38"/>
      <c r="AH394" s="38"/>
      <c r="AI394" s="38"/>
      <c r="AJ394" s="38"/>
      <c r="AK394" s="38"/>
    </row>
    <row r="395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  <c r="AB395" s="38"/>
      <c r="AC395" s="38"/>
      <c r="AD395" s="38"/>
      <c r="AE395" s="38"/>
      <c r="AF395" s="38"/>
      <c r="AG395" s="38"/>
      <c r="AH395" s="38"/>
      <c r="AI395" s="38"/>
      <c r="AJ395" s="38"/>
      <c r="AK395" s="38"/>
    </row>
    <row r="396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  <c r="AB396" s="38"/>
      <c r="AC396" s="38"/>
      <c r="AD396" s="38"/>
      <c r="AE396" s="38"/>
      <c r="AF396" s="38"/>
      <c r="AG396" s="38"/>
      <c r="AH396" s="38"/>
      <c r="AI396" s="38"/>
      <c r="AJ396" s="38"/>
      <c r="AK396" s="38"/>
    </row>
    <row r="397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  <c r="AB397" s="38"/>
      <c r="AC397" s="38"/>
      <c r="AD397" s="38"/>
      <c r="AE397" s="38"/>
      <c r="AF397" s="38"/>
      <c r="AG397" s="38"/>
      <c r="AH397" s="38"/>
      <c r="AI397" s="38"/>
      <c r="AJ397" s="38"/>
      <c r="AK397" s="38"/>
    </row>
    <row r="398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  <c r="AB398" s="38"/>
      <c r="AC398" s="38"/>
      <c r="AD398" s="38"/>
      <c r="AE398" s="38"/>
      <c r="AF398" s="38"/>
      <c r="AG398" s="38"/>
      <c r="AH398" s="38"/>
      <c r="AI398" s="38"/>
      <c r="AJ398" s="38"/>
      <c r="AK398" s="38"/>
    </row>
    <row r="399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  <c r="AB399" s="38"/>
      <c r="AC399" s="38"/>
      <c r="AD399" s="38"/>
      <c r="AE399" s="38"/>
      <c r="AF399" s="38"/>
      <c r="AG399" s="38"/>
      <c r="AH399" s="38"/>
      <c r="AI399" s="38"/>
      <c r="AJ399" s="38"/>
      <c r="AK399" s="38"/>
    </row>
    <row r="400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  <c r="AB400" s="38"/>
      <c r="AC400" s="38"/>
      <c r="AD400" s="38"/>
      <c r="AE400" s="38"/>
      <c r="AF400" s="38"/>
      <c r="AG400" s="38"/>
      <c r="AH400" s="38"/>
      <c r="AI400" s="38"/>
      <c r="AJ400" s="38"/>
      <c r="AK400" s="38"/>
    </row>
    <row r="40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  <c r="AB401" s="38"/>
      <c r="AC401" s="38"/>
      <c r="AD401" s="38"/>
      <c r="AE401" s="38"/>
      <c r="AF401" s="38"/>
      <c r="AG401" s="38"/>
      <c r="AH401" s="38"/>
      <c r="AI401" s="38"/>
      <c r="AJ401" s="38"/>
      <c r="AK401" s="38"/>
    </row>
    <row r="40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  <c r="AB402" s="38"/>
      <c r="AC402" s="38"/>
      <c r="AD402" s="38"/>
      <c r="AE402" s="38"/>
      <c r="AF402" s="38"/>
      <c r="AG402" s="38"/>
      <c r="AH402" s="38"/>
      <c r="AI402" s="38"/>
      <c r="AJ402" s="38"/>
      <c r="AK402" s="38"/>
    </row>
    <row r="403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  <c r="AB403" s="38"/>
      <c r="AC403" s="38"/>
      <c r="AD403" s="38"/>
      <c r="AE403" s="38"/>
      <c r="AF403" s="38"/>
      <c r="AG403" s="38"/>
      <c r="AH403" s="38"/>
      <c r="AI403" s="38"/>
      <c r="AJ403" s="38"/>
      <c r="AK403" s="38"/>
    </row>
    <row r="404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  <c r="AB404" s="38"/>
      <c r="AC404" s="38"/>
      <c r="AD404" s="38"/>
      <c r="AE404" s="38"/>
      <c r="AF404" s="38"/>
      <c r="AG404" s="38"/>
      <c r="AH404" s="38"/>
      <c r="AI404" s="38"/>
      <c r="AJ404" s="38"/>
      <c r="AK404" s="38"/>
    </row>
    <row r="405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  <c r="AB405" s="38"/>
      <c r="AC405" s="38"/>
      <c r="AD405" s="38"/>
      <c r="AE405" s="38"/>
      <c r="AF405" s="38"/>
      <c r="AG405" s="38"/>
      <c r="AH405" s="38"/>
      <c r="AI405" s="38"/>
      <c r="AJ405" s="38"/>
      <c r="AK405" s="38"/>
    </row>
    <row r="406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  <c r="AB406" s="38"/>
      <c r="AC406" s="38"/>
      <c r="AD406" s="38"/>
      <c r="AE406" s="38"/>
      <c r="AF406" s="38"/>
      <c r="AG406" s="38"/>
      <c r="AH406" s="38"/>
      <c r="AI406" s="38"/>
      <c r="AJ406" s="38"/>
      <c r="AK406" s="38"/>
    </row>
    <row r="407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  <c r="AB407" s="38"/>
      <c r="AC407" s="38"/>
      <c r="AD407" s="38"/>
      <c r="AE407" s="38"/>
      <c r="AF407" s="38"/>
      <c r="AG407" s="38"/>
      <c r="AH407" s="38"/>
      <c r="AI407" s="38"/>
      <c r="AJ407" s="38"/>
      <c r="AK407" s="38"/>
    </row>
    <row r="408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  <c r="AB408" s="38"/>
      <c r="AC408" s="38"/>
      <c r="AD408" s="38"/>
      <c r="AE408" s="38"/>
      <c r="AF408" s="38"/>
      <c r="AG408" s="38"/>
      <c r="AH408" s="38"/>
      <c r="AI408" s="38"/>
      <c r="AJ408" s="38"/>
      <c r="AK408" s="38"/>
    </row>
    <row r="409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  <c r="AB409" s="38"/>
      <c r="AC409" s="38"/>
      <c r="AD409" s="38"/>
      <c r="AE409" s="38"/>
      <c r="AF409" s="38"/>
      <c r="AG409" s="38"/>
      <c r="AH409" s="38"/>
      <c r="AI409" s="38"/>
      <c r="AJ409" s="38"/>
      <c r="AK409" s="38"/>
    </row>
    <row r="410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  <c r="AB410" s="38"/>
      <c r="AC410" s="38"/>
      <c r="AD410" s="38"/>
      <c r="AE410" s="38"/>
      <c r="AF410" s="38"/>
      <c r="AG410" s="38"/>
      <c r="AH410" s="38"/>
      <c r="AI410" s="38"/>
      <c r="AJ410" s="38"/>
      <c r="AK410" s="38"/>
    </row>
    <row r="41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  <c r="AB411" s="38"/>
      <c r="AC411" s="38"/>
      <c r="AD411" s="38"/>
      <c r="AE411" s="38"/>
      <c r="AF411" s="38"/>
      <c r="AG411" s="38"/>
      <c r="AH411" s="38"/>
      <c r="AI411" s="38"/>
      <c r="AJ411" s="38"/>
      <c r="AK411" s="38"/>
    </row>
    <row r="41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  <c r="AB412" s="38"/>
      <c r="AC412" s="38"/>
      <c r="AD412" s="38"/>
      <c r="AE412" s="38"/>
      <c r="AF412" s="38"/>
      <c r="AG412" s="38"/>
      <c r="AH412" s="38"/>
      <c r="AI412" s="38"/>
      <c r="AJ412" s="38"/>
      <c r="AK412" s="38"/>
    </row>
    <row r="413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  <c r="AB413" s="38"/>
      <c r="AC413" s="38"/>
      <c r="AD413" s="38"/>
      <c r="AE413" s="38"/>
      <c r="AF413" s="38"/>
      <c r="AG413" s="38"/>
      <c r="AH413" s="38"/>
      <c r="AI413" s="38"/>
      <c r="AJ413" s="38"/>
      <c r="AK413" s="38"/>
    </row>
    <row r="414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  <c r="AB414" s="38"/>
      <c r="AC414" s="38"/>
      <c r="AD414" s="38"/>
      <c r="AE414" s="38"/>
      <c r="AF414" s="38"/>
      <c r="AG414" s="38"/>
      <c r="AH414" s="38"/>
      <c r="AI414" s="38"/>
      <c r="AJ414" s="38"/>
      <c r="AK414" s="38"/>
    </row>
    <row r="415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  <c r="AB415" s="38"/>
      <c r="AC415" s="38"/>
      <c r="AD415" s="38"/>
      <c r="AE415" s="38"/>
      <c r="AF415" s="38"/>
      <c r="AG415" s="38"/>
      <c r="AH415" s="38"/>
      <c r="AI415" s="38"/>
      <c r="AJ415" s="38"/>
      <c r="AK415" s="38"/>
    </row>
    <row r="416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  <c r="AB416" s="38"/>
      <c r="AC416" s="38"/>
      <c r="AD416" s="38"/>
      <c r="AE416" s="38"/>
      <c r="AF416" s="38"/>
      <c r="AG416" s="38"/>
      <c r="AH416" s="38"/>
      <c r="AI416" s="38"/>
      <c r="AJ416" s="38"/>
      <c r="AK416" s="38"/>
    </row>
    <row r="417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  <c r="AB417" s="38"/>
      <c r="AC417" s="38"/>
      <c r="AD417" s="38"/>
      <c r="AE417" s="38"/>
      <c r="AF417" s="38"/>
      <c r="AG417" s="38"/>
      <c r="AH417" s="38"/>
      <c r="AI417" s="38"/>
      <c r="AJ417" s="38"/>
      <c r="AK417" s="38"/>
    </row>
    <row r="418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  <c r="AC418" s="38"/>
      <c r="AD418" s="38"/>
      <c r="AE418" s="38"/>
      <c r="AF418" s="38"/>
      <c r="AG418" s="38"/>
      <c r="AH418" s="38"/>
      <c r="AI418" s="38"/>
      <c r="AJ418" s="38"/>
      <c r="AK418" s="38"/>
    </row>
    <row r="419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  <c r="AB419" s="38"/>
      <c r="AC419" s="38"/>
      <c r="AD419" s="38"/>
      <c r="AE419" s="38"/>
      <c r="AF419" s="38"/>
      <c r="AG419" s="38"/>
      <c r="AH419" s="38"/>
      <c r="AI419" s="38"/>
      <c r="AJ419" s="38"/>
      <c r="AK419" s="38"/>
    </row>
    <row r="420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  <c r="AB420" s="38"/>
      <c r="AC420" s="38"/>
      <c r="AD420" s="38"/>
      <c r="AE420" s="38"/>
      <c r="AF420" s="38"/>
      <c r="AG420" s="38"/>
      <c r="AH420" s="38"/>
      <c r="AI420" s="38"/>
      <c r="AJ420" s="38"/>
      <c r="AK420" s="38"/>
    </row>
    <row r="42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  <c r="AB421" s="38"/>
      <c r="AC421" s="38"/>
      <c r="AD421" s="38"/>
      <c r="AE421" s="38"/>
      <c r="AF421" s="38"/>
      <c r="AG421" s="38"/>
      <c r="AH421" s="38"/>
      <c r="AI421" s="38"/>
      <c r="AJ421" s="38"/>
      <c r="AK421" s="38"/>
    </row>
    <row r="42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  <c r="AB422" s="38"/>
      <c r="AC422" s="38"/>
      <c r="AD422" s="38"/>
      <c r="AE422" s="38"/>
      <c r="AF422" s="38"/>
      <c r="AG422" s="38"/>
      <c r="AH422" s="38"/>
      <c r="AI422" s="38"/>
      <c r="AJ422" s="38"/>
      <c r="AK422" s="38"/>
    </row>
    <row r="423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  <c r="AB423" s="38"/>
      <c r="AC423" s="38"/>
      <c r="AD423" s="38"/>
      <c r="AE423" s="38"/>
      <c r="AF423" s="38"/>
      <c r="AG423" s="38"/>
      <c r="AH423" s="38"/>
      <c r="AI423" s="38"/>
      <c r="AJ423" s="38"/>
      <c r="AK423" s="38"/>
    </row>
    <row r="424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  <c r="AB424" s="38"/>
      <c r="AC424" s="38"/>
      <c r="AD424" s="38"/>
      <c r="AE424" s="38"/>
      <c r="AF424" s="38"/>
      <c r="AG424" s="38"/>
      <c r="AH424" s="38"/>
      <c r="AI424" s="38"/>
      <c r="AJ424" s="38"/>
      <c r="AK424" s="38"/>
    </row>
    <row r="425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  <c r="AB425" s="38"/>
      <c r="AC425" s="38"/>
      <c r="AD425" s="38"/>
      <c r="AE425" s="38"/>
      <c r="AF425" s="38"/>
      <c r="AG425" s="38"/>
      <c r="AH425" s="38"/>
      <c r="AI425" s="38"/>
      <c r="AJ425" s="38"/>
      <c r="AK425" s="38"/>
    </row>
    <row r="426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  <c r="AB426" s="38"/>
      <c r="AC426" s="38"/>
      <c r="AD426" s="38"/>
      <c r="AE426" s="38"/>
      <c r="AF426" s="38"/>
      <c r="AG426" s="38"/>
      <c r="AH426" s="38"/>
      <c r="AI426" s="38"/>
      <c r="AJ426" s="38"/>
      <c r="AK426" s="38"/>
    </row>
    <row r="427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  <c r="AB427" s="38"/>
      <c r="AC427" s="38"/>
      <c r="AD427" s="38"/>
      <c r="AE427" s="38"/>
      <c r="AF427" s="38"/>
      <c r="AG427" s="38"/>
      <c r="AH427" s="38"/>
      <c r="AI427" s="38"/>
      <c r="AJ427" s="38"/>
      <c r="AK427" s="38"/>
    </row>
    <row r="428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  <c r="AB428" s="38"/>
      <c r="AC428" s="38"/>
      <c r="AD428" s="38"/>
      <c r="AE428" s="38"/>
      <c r="AF428" s="38"/>
      <c r="AG428" s="38"/>
      <c r="AH428" s="38"/>
      <c r="AI428" s="38"/>
      <c r="AJ428" s="38"/>
      <c r="AK428" s="38"/>
    </row>
    <row r="429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  <c r="AB429" s="38"/>
      <c r="AC429" s="38"/>
      <c r="AD429" s="38"/>
      <c r="AE429" s="38"/>
      <c r="AF429" s="38"/>
      <c r="AG429" s="38"/>
      <c r="AH429" s="38"/>
      <c r="AI429" s="38"/>
      <c r="AJ429" s="38"/>
      <c r="AK429" s="38"/>
    </row>
    <row r="430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  <c r="AB430" s="38"/>
      <c r="AC430" s="38"/>
      <c r="AD430" s="38"/>
      <c r="AE430" s="38"/>
      <c r="AF430" s="38"/>
      <c r="AG430" s="38"/>
      <c r="AH430" s="38"/>
      <c r="AI430" s="38"/>
      <c r="AJ430" s="38"/>
      <c r="AK430" s="38"/>
    </row>
    <row r="43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  <c r="AB431" s="38"/>
      <c r="AC431" s="38"/>
      <c r="AD431" s="38"/>
      <c r="AE431" s="38"/>
      <c r="AF431" s="38"/>
      <c r="AG431" s="38"/>
      <c r="AH431" s="38"/>
      <c r="AI431" s="38"/>
      <c r="AJ431" s="38"/>
      <c r="AK431" s="38"/>
    </row>
    <row r="43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  <c r="AB432" s="38"/>
      <c r="AC432" s="38"/>
      <c r="AD432" s="38"/>
      <c r="AE432" s="38"/>
      <c r="AF432" s="38"/>
      <c r="AG432" s="38"/>
      <c r="AH432" s="38"/>
      <c r="AI432" s="38"/>
      <c r="AJ432" s="38"/>
      <c r="AK432" s="38"/>
    </row>
    <row r="433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  <c r="AB433" s="38"/>
      <c r="AC433" s="38"/>
      <c r="AD433" s="38"/>
      <c r="AE433" s="38"/>
      <c r="AF433" s="38"/>
      <c r="AG433" s="38"/>
      <c r="AH433" s="38"/>
      <c r="AI433" s="38"/>
      <c r="AJ433" s="38"/>
      <c r="AK433" s="38"/>
    </row>
    <row r="434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  <c r="AB434" s="38"/>
      <c r="AC434" s="38"/>
      <c r="AD434" s="38"/>
      <c r="AE434" s="38"/>
      <c r="AF434" s="38"/>
      <c r="AG434" s="38"/>
      <c r="AH434" s="38"/>
      <c r="AI434" s="38"/>
      <c r="AJ434" s="38"/>
      <c r="AK434" s="38"/>
    </row>
    <row r="435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  <c r="AB435" s="38"/>
      <c r="AC435" s="38"/>
      <c r="AD435" s="38"/>
      <c r="AE435" s="38"/>
      <c r="AF435" s="38"/>
      <c r="AG435" s="38"/>
      <c r="AH435" s="38"/>
      <c r="AI435" s="38"/>
      <c r="AJ435" s="38"/>
      <c r="AK435" s="38"/>
    </row>
    <row r="436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  <c r="AB436" s="38"/>
      <c r="AC436" s="38"/>
      <c r="AD436" s="38"/>
      <c r="AE436" s="38"/>
      <c r="AF436" s="38"/>
      <c r="AG436" s="38"/>
      <c r="AH436" s="38"/>
      <c r="AI436" s="38"/>
      <c r="AJ436" s="38"/>
      <c r="AK436" s="38"/>
    </row>
    <row r="437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  <c r="AB437" s="38"/>
      <c r="AC437" s="38"/>
      <c r="AD437" s="38"/>
      <c r="AE437" s="38"/>
      <c r="AF437" s="38"/>
      <c r="AG437" s="38"/>
      <c r="AH437" s="38"/>
      <c r="AI437" s="38"/>
      <c r="AJ437" s="38"/>
      <c r="AK437" s="38"/>
    </row>
    <row r="438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  <c r="AB438" s="38"/>
      <c r="AC438" s="38"/>
      <c r="AD438" s="38"/>
      <c r="AE438" s="38"/>
      <c r="AF438" s="38"/>
      <c r="AG438" s="38"/>
      <c r="AH438" s="38"/>
      <c r="AI438" s="38"/>
      <c r="AJ438" s="38"/>
      <c r="AK438" s="38"/>
    </row>
    <row r="439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  <c r="AB439" s="38"/>
      <c r="AC439" s="38"/>
      <c r="AD439" s="38"/>
      <c r="AE439" s="38"/>
      <c r="AF439" s="38"/>
      <c r="AG439" s="38"/>
      <c r="AH439" s="38"/>
      <c r="AI439" s="38"/>
      <c r="AJ439" s="38"/>
      <c r="AK439" s="38"/>
    </row>
    <row r="440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  <c r="AB440" s="38"/>
      <c r="AC440" s="38"/>
      <c r="AD440" s="38"/>
      <c r="AE440" s="38"/>
      <c r="AF440" s="38"/>
      <c r="AG440" s="38"/>
      <c r="AH440" s="38"/>
      <c r="AI440" s="38"/>
      <c r="AJ440" s="38"/>
      <c r="AK440" s="38"/>
    </row>
    <row r="44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  <c r="AB441" s="38"/>
      <c r="AC441" s="38"/>
      <c r="AD441" s="38"/>
      <c r="AE441" s="38"/>
      <c r="AF441" s="38"/>
      <c r="AG441" s="38"/>
      <c r="AH441" s="38"/>
      <c r="AI441" s="38"/>
      <c r="AJ441" s="38"/>
      <c r="AK441" s="38"/>
    </row>
    <row r="44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  <c r="AB442" s="38"/>
      <c r="AC442" s="38"/>
      <c r="AD442" s="38"/>
      <c r="AE442" s="38"/>
      <c r="AF442" s="38"/>
      <c r="AG442" s="38"/>
      <c r="AH442" s="38"/>
      <c r="AI442" s="38"/>
      <c r="AJ442" s="38"/>
      <c r="AK442" s="38"/>
    </row>
    <row r="443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  <c r="AB443" s="38"/>
      <c r="AC443" s="38"/>
      <c r="AD443" s="38"/>
      <c r="AE443" s="38"/>
      <c r="AF443" s="38"/>
      <c r="AG443" s="38"/>
      <c r="AH443" s="38"/>
      <c r="AI443" s="38"/>
      <c r="AJ443" s="38"/>
      <c r="AK443" s="38"/>
    </row>
    <row r="444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  <c r="AB444" s="38"/>
      <c r="AC444" s="38"/>
      <c r="AD444" s="38"/>
      <c r="AE444" s="38"/>
      <c r="AF444" s="38"/>
      <c r="AG444" s="38"/>
      <c r="AH444" s="38"/>
      <c r="AI444" s="38"/>
      <c r="AJ444" s="38"/>
      <c r="AK444" s="38"/>
    </row>
    <row r="445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  <c r="AB445" s="38"/>
      <c r="AC445" s="38"/>
      <c r="AD445" s="38"/>
      <c r="AE445" s="38"/>
      <c r="AF445" s="38"/>
      <c r="AG445" s="38"/>
      <c r="AH445" s="38"/>
      <c r="AI445" s="38"/>
      <c r="AJ445" s="38"/>
      <c r="AK445" s="38"/>
    </row>
    <row r="446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  <c r="AB446" s="38"/>
      <c r="AC446" s="38"/>
      <c r="AD446" s="38"/>
      <c r="AE446" s="38"/>
      <c r="AF446" s="38"/>
      <c r="AG446" s="38"/>
      <c r="AH446" s="38"/>
      <c r="AI446" s="38"/>
      <c r="AJ446" s="38"/>
      <c r="AK446" s="38"/>
    </row>
    <row r="447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  <c r="AB447" s="38"/>
      <c r="AC447" s="38"/>
      <c r="AD447" s="38"/>
      <c r="AE447" s="38"/>
      <c r="AF447" s="38"/>
      <c r="AG447" s="38"/>
      <c r="AH447" s="38"/>
      <c r="AI447" s="38"/>
      <c r="AJ447" s="38"/>
      <c r="AK447" s="38"/>
    </row>
    <row r="448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  <c r="AB448" s="38"/>
      <c r="AC448" s="38"/>
      <c r="AD448" s="38"/>
      <c r="AE448" s="38"/>
      <c r="AF448" s="38"/>
      <c r="AG448" s="38"/>
      <c r="AH448" s="38"/>
      <c r="AI448" s="38"/>
      <c r="AJ448" s="38"/>
      <c r="AK448" s="38"/>
    </row>
    <row r="449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  <c r="AB449" s="38"/>
      <c r="AC449" s="38"/>
      <c r="AD449" s="38"/>
      <c r="AE449" s="38"/>
      <c r="AF449" s="38"/>
      <c r="AG449" s="38"/>
      <c r="AH449" s="38"/>
      <c r="AI449" s="38"/>
      <c r="AJ449" s="38"/>
      <c r="AK449" s="38"/>
    </row>
    <row r="450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  <c r="AB450" s="38"/>
      <c r="AC450" s="38"/>
      <c r="AD450" s="38"/>
      <c r="AE450" s="38"/>
      <c r="AF450" s="38"/>
      <c r="AG450" s="38"/>
      <c r="AH450" s="38"/>
      <c r="AI450" s="38"/>
      <c r="AJ450" s="38"/>
      <c r="AK450" s="38"/>
    </row>
    <row r="45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  <c r="AB451" s="38"/>
      <c r="AC451" s="38"/>
      <c r="AD451" s="38"/>
      <c r="AE451" s="38"/>
      <c r="AF451" s="38"/>
      <c r="AG451" s="38"/>
      <c r="AH451" s="38"/>
      <c r="AI451" s="38"/>
      <c r="AJ451" s="38"/>
      <c r="AK451" s="38"/>
    </row>
    <row r="45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  <c r="AB452" s="38"/>
      <c r="AC452" s="38"/>
      <c r="AD452" s="38"/>
      <c r="AE452" s="38"/>
      <c r="AF452" s="38"/>
      <c r="AG452" s="38"/>
      <c r="AH452" s="38"/>
      <c r="AI452" s="38"/>
      <c r="AJ452" s="38"/>
      <c r="AK452" s="38"/>
    </row>
    <row r="453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  <c r="AB453" s="38"/>
      <c r="AC453" s="38"/>
      <c r="AD453" s="38"/>
      <c r="AE453" s="38"/>
      <c r="AF453" s="38"/>
      <c r="AG453" s="38"/>
      <c r="AH453" s="38"/>
      <c r="AI453" s="38"/>
      <c r="AJ453" s="38"/>
      <c r="AK453" s="38"/>
    </row>
    <row r="454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  <c r="AB454" s="38"/>
      <c r="AC454" s="38"/>
      <c r="AD454" s="38"/>
      <c r="AE454" s="38"/>
      <c r="AF454" s="38"/>
      <c r="AG454" s="38"/>
      <c r="AH454" s="38"/>
      <c r="AI454" s="38"/>
      <c r="AJ454" s="38"/>
      <c r="AK454" s="38"/>
    </row>
    <row r="455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  <c r="AB455" s="38"/>
      <c r="AC455" s="38"/>
      <c r="AD455" s="38"/>
      <c r="AE455" s="38"/>
      <c r="AF455" s="38"/>
      <c r="AG455" s="38"/>
      <c r="AH455" s="38"/>
      <c r="AI455" s="38"/>
      <c r="AJ455" s="38"/>
      <c r="AK455" s="38"/>
    </row>
    <row r="456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  <c r="AB456" s="38"/>
      <c r="AC456" s="38"/>
      <c r="AD456" s="38"/>
      <c r="AE456" s="38"/>
      <c r="AF456" s="38"/>
      <c r="AG456" s="38"/>
      <c r="AH456" s="38"/>
      <c r="AI456" s="38"/>
      <c r="AJ456" s="38"/>
      <c r="AK456" s="38"/>
    </row>
    <row r="457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  <c r="AB457" s="38"/>
      <c r="AC457" s="38"/>
      <c r="AD457" s="38"/>
      <c r="AE457" s="38"/>
      <c r="AF457" s="38"/>
      <c r="AG457" s="38"/>
      <c r="AH457" s="38"/>
      <c r="AI457" s="38"/>
      <c r="AJ457" s="38"/>
      <c r="AK457" s="38"/>
    </row>
    <row r="458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  <c r="AB458" s="38"/>
      <c r="AC458" s="38"/>
      <c r="AD458" s="38"/>
      <c r="AE458" s="38"/>
      <c r="AF458" s="38"/>
      <c r="AG458" s="38"/>
      <c r="AH458" s="38"/>
      <c r="AI458" s="38"/>
      <c r="AJ458" s="38"/>
      <c r="AK458" s="38"/>
    </row>
    <row r="459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  <c r="AB459" s="38"/>
      <c r="AC459" s="38"/>
      <c r="AD459" s="38"/>
      <c r="AE459" s="38"/>
      <c r="AF459" s="38"/>
      <c r="AG459" s="38"/>
      <c r="AH459" s="38"/>
      <c r="AI459" s="38"/>
      <c r="AJ459" s="38"/>
      <c r="AK459" s="38"/>
    </row>
    <row r="460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  <c r="AB460" s="38"/>
      <c r="AC460" s="38"/>
      <c r="AD460" s="38"/>
      <c r="AE460" s="38"/>
      <c r="AF460" s="38"/>
      <c r="AG460" s="38"/>
      <c r="AH460" s="38"/>
      <c r="AI460" s="38"/>
      <c r="AJ460" s="38"/>
      <c r="AK460" s="38"/>
    </row>
    <row r="46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  <c r="AB461" s="38"/>
      <c r="AC461" s="38"/>
      <c r="AD461" s="38"/>
      <c r="AE461" s="38"/>
      <c r="AF461" s="38"/>
      <c r="AG461" s="38"/>
      <c r="AH461" s="38"/>
      <c r="AI461" s="38"/>
      <c r="AJ461" s="38"/>
      <c r="AK461" s="38"/>
    </row>
    <row r="46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  <c r="AB462" s="38"/>
      <c r="AC462" s="38"/>
      <c r="AD462" s="38"/>
      <c r="AE462" s="38"/>
      <c r="AF462" s="38"/>
      <c r="AG462" s="38"/>
      <c r="AH462" s="38"/>
      <c r="AI462" s="38"/>
      <c r="AJ462" s="38"/>
      <c r="AK462" s="38"/>
    </row>
    <row r="463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  <c r="AB463" s="38"/>
      <c r="AC463" s="38"/>
      <c r="AD463" s="38"/>
      <c r="AE463" s="38"/>
      <c r="AF463" s="38"/>
      <c r="AG463" s="38"/>
      <c r="AH463" s="38"/>
      <c r="AI463" s="38"/>
      <c r="AJ463" s="38"/>
      <c r="AK463" s="38"/>
    </row>
    <row r="464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  <c r="AB464" s="38"/>
      <c r="AC464" s="38"/>
      <c r="AD464" s="38"/>
      <c r="AE464" s="38"/>
      <c r="AF464" s="38"/>
      <c r="AG464" s="38"/>
      <c r="AH464" s="38"/>
      <c r="AI464" s="38"/>
      <c r="AJ464" s="38"/>
      <c r="AK464" s="38"/>
    </row>
    <row r="465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  <c r="AB465" s="38"/>
      <c r="AC465" s="38"/>
      <c r="AD465" s="38"/>
      <c r="AE465" s="38"/>
      <c r="AF465" s="38"/>
      <c r="AG465" s="38"/>
      <c r="AH465" s="38"/>
      <c r="AI465" s="38"/>
      <c r="AJ465" s="38"/>
      <c r="AK465" s="38"/>
    </row>
    <row r="466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  <c r="AB466" s="38"/>
      <c r="AC466" s="38"/>
      <c r="AD466" s="38"/>
      <c r="AE466" s="38"/>
      <c r="AF466" s="38"/>
      <c r="AG466" s="38"/>
      <c r="AH466" s="38"/>
      <c r="AI466" s="38"/>
      <c r="AJ466" s="38"/>
      <c r="AK466" s="38"/>
    </row>
    <row r="467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  <c r="AB467" s="38"/>
      <c r="AC467" s="38"/>
      <c r="AD467" s="38"/>
      <c r="AE467" s="38"/>
      <c r="AF467" s="38"/>
      <c r="AG467" s="38"/>
      <c r="AH467" s="38"/>
      <c r="AI467" s="38"/>
      <c r="AJ467" s="38"/>
      <c r="AK467" s="38"/>
    </row>
    <row r="468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  <c r="AB468" s="38"/>
      <c r="AC468" s="38"/>
      <c r="AD468" s="38"/>
      <c r="AE468" s="38"/>
      <c r="AF468" s="38"/>
      <c r="AG468" s="38"/>
      <c r="AH468" s="38"/>
      <c r="AI468" s="38"/>
      <c r="AJ468" s="38"/>
      <c r="AK468" s="38"/>
    </row>
    <row r="469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  <c r="AB469" s="38"/>
      <c r="AC469" s="38"/>
      <c r="AD469" s="38"/>
      <c r="AE469" s="38"/>
      <c r="AF469" s="38"/>
      <c r="AG469" s="38"/>
      <c r="AH469" s="38"/>
      <c r="AI469" s="38"/>
      <c r="AJ469" s="38"/>
      <c r="AK469" s="38"/>
    </row>
    <row r="470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  <c r="AB470" s="38"/>
      <c r="AC470" s="38"/>
      <c r="AD470" s="38"/>
      <c r="AE470" s="38"/>
      <c r="AF470" s="38"/>
      <c r="AG470" s="38"/>
      <c r="AH470" s="38"/>
      <c r="AI470" s="38"/>
      <c r="AJ470" s="38"/>
      <c r="AK470" s="38"/>
    </row>
    <row r="47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  <c r="AB471" s="38"/>
      <c r="AC471" s="38"/>
      <c r="AD471" s="38"/>
      <c r="AE471" s="38"/>
      <c r="AF471" s="38"/>
      <c r="AG471" s="38"/>
      <c r="AH471" s="38"/>
      <c r="AI471" s="38"/>
      <c r="AJ471" s="38"/>
      <c r="AK471" s="38"/>
    </row>
    <row r="47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  <c r="AB472" s="38"/>
      <c r="AC472" s="38"/>
      <c r="AD472" s="38"/>
      <c r="AE472" s="38"/>
      <c r="AF472" s="38"/>
      <c r="AG472" s="38"/>
      <c r="AH472" s="38"/>
      <c r="AI472" s="38"/>
      <c r="AJ472" s="38"/>
      <c r="AK472" s="38"/>
    </row>
    <row r="473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  <c r="AB473" s="38"/>
      <c r="AC473" s="38"/>
      <c r="AD473" s="38"/>
      <c r="AE473" s="38"/>
      <c r="AF473" s="38"/>
      <c r="AG473" s="38"/>
      <c r="AH473" s="38"/>
      <c r="AI473" s="38"/>
      <c r="AJ473" s="38"/>
      <c r="AK473" s="38"/>
    </row>
    <row r="474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  <c r="AB474" s="38"/>
      <c r="AC474" s="38"/>
      <c r="AD474" s="38"/>
      <c r="AE474" s="38"/>
      <c r="AF474" s="38"/>
      <c r="AG474" s="38"/>
      <c r="AH474" s="38"/>
      <c r="AI474" s="38"/>
      <c r="AJ474" s="38"/>
      <c r="AK474" s="38"/>
    </row>
    <row r="475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  <c r="AB475" s="38"/>
      <c r="AC475" s="38"/>
      <c r="AD475" s="38"/>
      <c r="AE475" s="38"/>
      <c r="AF475" s="38"/>
      <c r="AG475" s="38"/>
      <c r="AH475" s="38"/>
      <c r="AI475" s="38"/>
      <c r="AJ475" s="38"/>
      <c r="AK475" s="38"/>
    </row>
    <row r="476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  <c r="AB476" s="38"/>
      <c r="AC476" s="38"/>
      <c r="AD476" s="38"/>
      <c r="AE476" s="38"/>
      <c r="AF476" s="38"/>
      <c r="AG476" s="38"/>
      <c r="AH476" s="38"/>
      <c r="AI476" s="38"/>
      <c r="AJ476" s="38"/>
      <c r="AK476" s="38"/>
    </row>
    <row r="477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  <c r="AB477" s="38"/>
      <c r="AC477" s="38"/>
      <c r="AD477" s="38"/>
      <c r="AE477" s="38"/>
      <c r="AF477" s="38"/>
      <c r="AG477" s="38"/>
      <c r="AH477" s="38"/>
      <c r="AI477" s="38"/>
      <c r="AJ477" s="38"/>
      <c r="AK477" s="38"/>
    </row>
    <row r="478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  <c r="AB478" s="38"/>
      <c r="AC478" s="38"/>
      <c r="AD478" s="38"/>
      <c r="AE478" s="38"/>
      <c r="AF478" s="38"/>
      <c r="AG478" s="38"/>
      <c r="AH478" s="38"/>
      <c r="AI478" s="38"/>
      <c r="AJ478" s="38"/>
      <c r="AK478" s="38"/>
    </row>
    <row r="479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  <c r="AB479" s="38"/>
      <c r="AC479" s="38"/>
      <c r="AD479" s="38"/>
      <c r="AE479" s="38"/>
      <c r="AF479" s="38"/>
      <c r="AG479" s="38"/>
      <c r="AH479" s="38"/>
      <c r="AI479" s="38"/>
      <c r="AJ479" s="38"/>
      <c r="AK479" s="38"/>
    </row>
    <row r="480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  <c r="AB480" s="38"/>
      <c r="AC480" s="38"/>
      <c r="AD480" s="38"/>
      <c r="AE480" s="38"/>
      <c r="AF480" s="38"/>
      <c r="AG480" s="38"/>
      <c r="AH480" s="38"/>
      <c r="AI480" s="38"/>
      <c r="AJ480" s="38"/>
      <c r="AK480" s="38"/>
    </row>
    <row r="48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  <c r="AB481" s="38"/>
      <c r="AC481" s="38"/>
      <c r="AD481" s="38"/>
      <c r="AE481" s="38"/>
      <c r="AF481" s="38"/>
      <c r="AG481" s="38"/>
      <c r="AH481" s="38"/>
      <c r="AI481" s="38"/>
      <c r="AJ481" s="38"/>
      <c r="AK481" s="38"/>
    </row>
    <row r="48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  <c r="AB482" s="38"/>
      <c r="AC482" s="38"/>
      <c r="AD482" s="38"/>
      <c r="AE482" s="38"/>
      <c r="AF482" s="38"/>
      <c r="AG482" s="38"/>
      <c r="AH482" s="38"/>
      <c r="AI482" s="38"/>
      <c r="AJ482" s="38"/>
      <c r="AK482" s="38"/>
    </row>
    <row r="483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  <c r="AB483" s="38"/>
      <c r="AC483" s="38"/>
      <c r="AD483" s="38"/>
      <c r="AE483" s="38"/>
      <c r="AF483" s="38"/>
      <c r="AG483" s="38"/>
      <c r="AH483" s="38"/>
      <c r="AI483" s="38"/>
      <c r="AJ483" s="38"/>
      <c r="AK483" s="38"/>
    </row>
    <row r="484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  <c r="AB484" s="38"/>
      <c r="AC484" s="38"/>
      <c r="AD484" s="38"/>
      <c r="AE484" s="38"/>
      <c r="AF484" s="38"/>
      <c r="AG484" s="38"/>
      <c r="AH484" s="38"/>
      <c r="AI484" s="38"/>
      <c r="AJ484" s="38"/>
      <c r="AK484" s="38"/>
    </row>
    <row r="485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  <c r="AB485" s="38"/>
      <c r="AC485" s="38"/>
      <c r="AD485" s="38"/>
      <c r="AE485" s="38"/>
      <c r="AF485" s="38"/>
      <c r="AG485" s="38"/>
      <c r="AH485" s="38"/>
      <c r="AI485" s="38"/>
      <c r="AJ485" s="38"/>
      <c r="AK485" s="38"/>
    </row>
    <row r="486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  <c r="AB486" s="38"/>
      <c r="AC486" s="38"/>
      <c r="AD486" s="38"/>
      <c r="AE486" s="38"/>
      <c r="AF486" s="38"/>
      <c r="AG486" s="38"/>
      <c r="AH486" s="38"/>
      <c r="AI486" s="38"/>
      <c r="AJ486" s="38"/>
      <c r="AK486" s="38"/>
    </row>
    <row r="487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  <c r="AB487" s="38"/>
      <c r="AC487" s="38"/>
      <c r="AD487" s="38"/>
      <c r="AE487" s="38"/>
      <c r="AF487" s="38"/>
      <c r="AG487" s="38"/>
      <c r="AH487" s="38"/>
      <c r="AI487" s="38"/>
      <c r="AJ487" s="38"/>
      <c r="AK487" s="38"/>
    </row>
    <row r="488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  <c r="AB488" s="38"/>
      <c r="AC488" s="38"/>
      <c r="AD488" s="38"/>
      <c r="AE488" s="38"/>
      <c r="AF488" s="38"/>
      <c r="AG488" s="38"/>
      <c r="AH488" s="38"/>
      <c r="AI488" s="38"/>
      <c r="AJ488" s="38"/>
      <c r="AK488" s="38"/>
    </row>
    <row r="489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  <c r="AB489" s="38"/>
      <c r="AC489" s="38"/>
      <c r="AD489" s="38"/>
      <c r="AE489" s="38"/>
      <c r="AF489" s="38"/>
      <c r="AG489" s="38"/>
      <c r="AH489" s="38"/>
      <c r="AI489" s="38"/>
      <c r="AJ489" s="38"/>
      <c r="AK489" s="38"/>
    </row>
    <row r="490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  <c r="AB490" s="38"/>
      <c r="AC490" s="38"/>
      <c r="AD490" s="38"/>
      <c r="AE490" s="38"/>
      <c r="AF490" s="38"/>
      <c r="AG490" s="38"/>
      <c r="AH490" s="38"/>
      <c r="AI490" s="38"/>
      <c r="AJ490" s="38"/>
      <c r="AK490" s="38"/>
    </row>
    <row r="49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  <c r="AB491" s="38"/>
      <c r="AC491" s="38"/>
      <c r="AD491" s="38"/>
      <c r="AE491" s="38"/>
      <c r="AF491" s="38"/>
      <c r="AG491" s="38"/>
      <c r="AH491" s="38"/>
      <c r="AI491" s="38"/>
      <c r="AJ491" s="38"/>
      <c r="AK491" s="38"/>
    </row>
    <row r="49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  <c r="AB492" s="38"/>
      <c r="AC492" s="38"/>
      <c r="AD492" s="38"/>
      <c r="AE492" s="38"/>
      <c r="AF492" s="38"/>
      <c r="AG492" s="38"/>
      <c r="AH492" s="38"/>
      <c r="AI492" s="38"/>
      <c r="AJ492" s="38"/>
      <c r="AK492" s="38"/>
    </row>
    <row r="493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  <c r="AG493" s="38"/>
      <c r="AH493" s="38"/>
      <c r="AI493" s="38"/>
      <c r="AJ493" s="38"/>
      <c r="AK493" s="38"/>
    </row>
    <row r="494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  <c r="AB494" s="38"/>
      <c r="AC494" s="38"/>
      <c r="AD494" s="38"/>
      <c r="AE494" s="38"/>
      <c r="AF494" s="38"/>
      <c r="AG494" s="38"/>
      <c r="AH494" s="38"/>
      <c r="AI494" s="38"/>
      <c r="AJ494" s="38"/>
      <c r="AK494" s="38"/>
    </row>
    <row r="495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  <c r="AB495" s="38"/>
      <c r="AC495" s="38"/>
      <c r="AD495" s="38"/>
      <c r="AE495" s="38"/>
      <c r="AF495" s="38"/>
      <c r="AG495" s="38"/>
      <c r="AH495" s="38"/>
      <c r="AI495" s="38"/>
      <c r="AJ495" s="38"/>
      <c r="AK495" s="38"/>
    </row>
    <row r="496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  <c r="AB496" s="38"/>
      <c r="AC496" s="38"/>
      <c r="AD496" s="38"/>
      <c r="AE496" s="38"/>
      <c r="AF496" s="38"/>
      <c r="AG496" s="38"/>
      <c r="AH496" s="38"/>
      <c r="AI496" s="38"/>
      <c r="AJ496" s="38"/>
      <c r="AK496" s="38"/>
    </row>
    <row r="497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  <c r="AB497" s="38"/>
      <c r="AC497" s="38"/>
      <c r="AD497" s="38"/>
      <c r="AE497" s="38"/>
      <c r="AF497" s="38"/>
      <c r="AG497" s="38"/>
      <c r="AH497" s="38"/>
      <c r="AI497" s="38"/>
      <c r="AJ497" s="38"/>
      <c r="AK497" s="38"/>
    </row>
    <row r="498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  <c r="AB498" s="38"/>
      <c r="AC498" s="38"/>
      <c r="AD498" s="38"/>
      <c r="AE498" s="38"/>
      <c r="AF498" s="38"/>
      <c r="AG498" s="38"/>
      <c r="AH498" s="38"/>
      <c r="AI498" s="38"/>
      <c r="AJ498" s="38"/>
      <c r="AK498" s="38"/>
    </row>
    <row r="499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  <c r="AB499" s="38"/>
      <c r="AC499" s="38"/>
      <c r="AD499" s="38"/>
      <c r="AE499" s="38"/>
      <c r="AF499" s="38"/>
      <c r="AG499" s="38"/>
      <c r="AH499" s="38"/>
      <c r="AI499" s="38"/>
      <c r="AJ499" s="38"/>
      <c r="AK499" s="38"/>
    </row>
    <row r="500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  <c r="AB500" s="38"/>
      <c r="AC500" s="38"/>
      <c r="AD500" s="38"/>
      <c r="AE500" s="38"/>
      <c r="AF500" s="38"/>
      <c r="AG500" s="38"/>
      <c r="AH500" s="38"/>
      <c r="AI500" s="38"/>
      <c r="AJ500" s="38"/>
      <c r="AK500" s="38"/>
    </row>
    <row r="50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  <c r="AB501" s="38"/>
      <c r="AC501" s="38"/>
      <c r="AD501" s="38"/>
      <c r="AE501" s="38"/>
      <c r="AF501" s="38"/>
      <c r="AG501" s="38"/>
      <c r="AH501" s="38"/>
      <c r="AI501" s="38"/>
      <c r="AJ501" s="38"/>
      <c r="AK501" s="38"/>
    </row>
    <row r="50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  <c r="AB502" s="38"/>
      <c r="AC502" s="38"/>
      <c r="AD502" s="38"/>
      <c r="AE502" s="38"/>
      <c r="AF502" s="38"/>
      <c r="AG502" s="38"/>
      <c r="AH502" s="38"/>
      <c r="AI502" s="38"/>
      <c r="AJ502" s="38"/>
      <c r="AK502" s="38"/>
    </row>
    <row r="503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  <c r="AB503" s="38"/>
      <c r="AC503" s="38"/>
      <c r="AD503" s="38"/>
      <c r="AE503" s="38"/>
      <c r="AF503" s="38"/>
      <c r="AG503" s="38"/>
      <c r="AH503" s="38"/>
      <c r="AI503" s="38"/>
      <c r="AJ503" s="38"/>
      <c r="AK503" s="38"/>
    </row>
    <row r="504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  <c r="AB504" s="38"/>
      <c r="AC504" s="38"/>
      <c r="AD504" s="38"/>
      <c r="AE504" s="38"/>
      <c r="AF504" s="38"/>
      <c r="AG504" s="38"/>
      <c r="AH504" s="38"/>
      <c r="AI504" s="38"/>
      <c r="AJ504" s="38"/>
      <c r="AK504" s="38"/>
    </row>
    <row r="505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  <c r="AB505" s="38"/>
      <c r="AC505" s="38"/>
      <c r="AD505" s="38"/>
      <c r="AE505" s="38"/>
      <c r="AF505" s="38"/>
      <c r="AG505" s="38"/>
      <c r="AH505" s="38"/>
      <c r="AI505" s="38"/>
      <c r="AJ505" s="38"/>
      <c r="AK505" s="38"/>
    </row>
    <row r="506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  <c r="AB506" s="38"/>
      <c r="AC506" s="38"/>
      <c r="AD506" s="38"/>
      <c r="AE506" s="38"/>
      <c r="AF506" s="38"/>
      <c r="AG506" s="38"/>
      <c r="AH506" s="38"/>
      <c r="AI506" s="38"/>
      <c r="AJ506" s="38"/>
      <c r="AK506" s="38"/>
    </row>
    <row r="507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  <c r="AB507" s="38"/>
      <c r="AC507" s="38"/>
      <c r="AD507" s="38"/>
      <c r="AE507" s="38"/>
      <c r="AF507" s="38"/>
      <c r="AG507" s="38"/>
      <c r="AH507" s="38"/>
      <c r="AI507" s="38"/>
      <c r="AJ507" s="38"/>
      <c r="AK507" s="38"/>
    </row>
    <row r="508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  <c r="AG508" s="38"/>
      <c r="AH508" s="38"/>
      <c r="AI508" s="38"/>
      <c r="AJ508" s="38"/>
      <c r="AK508" s="38"/>
    </row>
    <row r="509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  <c r="AB509" s="38"/>
      <c r="AC509" s="38"/>
      <c r="AD509" s="38"/>
      <c r="AE509" s="38"/>
      <c r="AF509" s="38"/>
      <c r="AG509" s="38"/>
      <c r="AH509" s="38"/>
      <c r="AI509" s="38"/>
      <c r="AJ509" s="38"/>
      <c r="AK509" s="38"/>
    </row>
    <row r="510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  <c r="AB510" s="38"/>
      <c r="AC510" s="38"/>
      <c r="AD510" s="38"/>
      <c r="AE510" s="38"/>
      <c r="AF510" s="38"/>
      <c r="AG510" s="38"/>
      <c r="AH510" s="38"/>
      <c r="AI510" s="38"/>
      <c r="AJ510" s="38"/>
      <c r="AK510" s="38"/>
    </row>
    <row r="51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  <c r="AB511" s="38"/>
      <c r="AC511" s="38"/>
      <c r="AD511" s="38"/>
      <c r="AE511" s="38"/>
      <c r="AF511" s="38"/>
      <c r="AG511" s="38"/>
      <c r="AH511" s="38"/>
      <c r="AI511" s="38"/>
      <c r="AJ511" s="38"/>
      <c r="AK511" s="38"/>
    </row>
    <row r="51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  <c r="AB512" s="38"/>
      <c r="AC512" s="38"/>
      <c r="AD512" s="38"/>
      <c r="AE512" s="38"/>
      <c r="AF512" s="38"/>
      <c r="AG512" s="38"/>
      <c r="AH512" s="38"/>
      <c r="AI512" s="38"/>
      <c r="AJ512" s="38"/>
      <c r="AK512" s="38"/>
    </row>
    <row r="513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  <c r="AB513" s="38"/>
      <c r="AC513" s="38"/>
      <c r="AD513" s="38"/>
      <c r="AE513" s="38"/>
      <c r="AF513" s="38"/>
      <c r="AG513" s="38"/>
      <c r="AH513" s="38"/>
      <c r="AI513" s="38"/>
      <c r="AJ513" s="38"/>
      <c r="AK513" s="38"/>
    </row>
    <row r="514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  <c r="AB514" s="38"/>
      <c r="AC514" s="38"/>
      <c r="AD514" s="38"/>
      <c r="AE514" s="38"/>
      <c r="AF514" s="38"/>
      <c r="AG514" s="38"/>
      <c r="AH514" s="38"/>
      <c r="AI514" s="38"/>
      <c r="AJ514" s="38"/>
      <c r="AK514" s="38"/>
    </row>
    <row r="515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  <c r="AB515" s="38"/>
      <c r="AC515" s="38"/>
      <c r="AD515" s="38"/>
      <c r="AE515" s="38"/>
      <c r="AF515" s="38"/>
      <c r="AG515" s="38"/>
      <c r="AH515" s="38"/>
      <c r="AI515" s="38"/>
      <c r="AJ515" s="38"/>
      <c r="AK515" s="38"/>
    </row>
    <row r="516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  <c r="AB516" s="38"/>
      <c r="AC516" s="38"/>
      <c r="AD516" s="38"/>
      <c r="AE516" s="38"/>
      <c r="AF516" s="38"/>
      <c r="AG516" s="38"/>
      <c r="AH516" s="38"/>
      <c r="AI516" s="38"/>
      <c r="AJ516" s="38"/>
      <c r="AK516" s="38"/>
    </row>
    <row r="517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  <c r="AB517" s="38"/>
      <c r="AC517" s="38"/>
      <c r="AD517" s="38"/>
      <c r="AE517" s="38"/>
      <c r="AF517" s="38"/>
      <c r="AG517" s="38"/>
      <c r="AH517" s="38"/>
      <c r="AI517" s="38"/>
      <c r="AJ517" s="38"/>
      <c r="AK517" s="38"/>
    </row>
    <row r="518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  <c r="AG518" s="38"/>
      <c r="AH518" s="38"/>
      <c r="AI518" s="38"/>
      <c r="AJ518" s="38"/>
      <c r="AK518" s="38"/>
    </row>
    <row r="519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  <c r="AB519" s="38"/>
      <c r="AC519" s="38"/>
      <c r="AD519" s="38"/>
      <c r="AE519" s="38"/>
      <c r="AF519" s="38"/>
      <c r="AG519" s="38"/>
      <c r="AH519" s="38"/>
      <c r="AI519" s="38"/>
      <c r="AJ519" s="38"/>
      <c r="AK519" s="38"/>
    </row>
    <row r="520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  <c r="AB520" s="38"/>
      <c r="AC520" s="38"/>
      <c r="AD520" s="38"/>
      <c r="AE520" s="38"/>
      <c r="AF520" s="38"/>
      <c r="AG520" s="38"/>
      <c r="AH520" s="38"/>
      <c r="AI520" s="38"/>
      <c r="AJ520" s="38"/>
      <c r="AK520" s="38"/>
    </row>
    <row r="52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  <c r="AB521" s="38"/>
      <c r="AC521" s="38"/>
      <c r="AD521" s="38"/>
      <c r="AE521" s="38"/>
      <c r="AF521" s="38"/>
      <c r="AG521" s="38"/>
      <c r="AH521" s="38"/>
      <c r="AI521" s="38"/>
      <c r="AJ521" s="38"/>
      <c r="AK521" s="38"/>
    </row>
    <row r="52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  <c r="AB522" s="38"/>
      <c r="AC522" s="38"/>
      <c r="AD522" s="38"/>
      <c r="AE522" s="38"/>
      <c r="AF522" s="38"/>
      <c r="AG522" s="38"/>
      <c r="AH522" s="38"/>
      <c r="AI522" s="38"/>
      <c r="AJ522" s="38"/>
      <c r="AK522" s="38"/>
    </row>
    <row r="523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  <c r="AB523" s="38"/>
      <c r="AC523" s="38"/>
      <c r="AD523" s="38"/>
      <c r="AE523" s="38"/>
      <c r="AF523" s="38"/>
      <c r="AG523" s="38"/>
      <c r="AH523" s="38"/>
      <c r="AI523" s="38"/>
      <c r="AJ523" s="38"/>
      <c r="AK523" s="38"/>
    </row>
    <row r="524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  <c r="AB524" s="38"/>
      <c r="AC524" s="38"/>
      <c r="AD524" s="38"/>
      <c r="AE524" s="38"/>
      <c r="AF524" s="38"/>
      <c r="AG524" s="38"/>
      <c r="AH524" s="38"/>
      <c r="AI524" s="38"/>
      <c r="AJ524" s="38"/>
      <c r="AK524" s="38"/>
    </row>
    <row r="525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  <c r="AB525" s="38"/>
      <c r="AC525" s="38"/>
      <c r="AD525" s="38"/>
      <c r="AE525" s="38"/>
      <c r="AF525" s="38"/>
      <c r="AG525" s="38"/>
      <c r="AH525" s="38"/>
      <c r="AI525" s="38"/>
      <c r="AJ525" s="38"/>
      <c r="AK525" s="38"/>
    </row>
    <row r="526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  <c r="AB526" s="38"/>
      <c r="AC526" s="38"/>
      <c r="AD526" s="38"/>
      <c r="AE526" s="38"/>
      <c r="AF526" s="38"/>
      <c r="AG526" s="38"/>
      <c r="AH526" s="38"/>
      <c r="AI526" s="38"/>
      <c r="AJ526" s="38"/>
      <c r="AK526" s="38"/>
    </row>
    <row r="527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  <c r="AB527" s="38"/>
      <c r="AC527" s="38"/>
      <c r="AD527" s="38"/>
      <c r="AE527" s="38"/>
      <c r="AF527" s="38"/>
      <c r="AG527" s="38"/>
      <c r="AH527" s="38"/>
      <c r="AI527" s="38"/>
      <c r="AJ527" s="38"/>
      <c r="AK527" s="38"/>
    </row>
    <row r="528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  <c r="AB528" s="38"/>
      <c r="AC528" s="38"/>
      <c r="AD528" s="38"/>
      <c r="AE528" s="38"/>
      <c r="AF528" s="38"/>
      <c r="AG528" s="38"/>
      <c r="AH528" s="38"/>
      <c r="AI528" s="38"/>
      <c r="AJ528" s="38"/>
      <c r="AK528" s="38"/>
    </row>
    <row r="529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  <c r="AE529" s="38"/>
      <c r="AF529" s="38"/>
      <c r="AG529" s="38"/>
      <c r="AH529" s="38"/>
      <c r="AI529" s="38"/>
      <c r="AJ529" s="38"/>
      <c r="AK529" s="38"/>
    </row>
    <row r="530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  <c r="AB530" s="38"/>
      <c r="AC530" s="38"/>
      <c r="AD530" s="38"/>
      <c r="AE530" s="38"/>
      <c r="AF530" s="38"/>
      <c r="AG530" s="38"/>
      <c r="AH530" s="38"/>
      <c r="AI530" s="38"/>
      <c r="AJ530" s="38"/>
      <c r="AK530" s="38"/>
    </row>
    <row r="53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  <c r="AB531" s="38"/>
      <c r="AC531" s="38"/>
      <c r="AD531" s="38"/>
      <c r="AE531" s="38"/>
      <c r="AF531" s="38"/>
      <c r="AG531" s="38"/>
      <c r="AH531" s="38"/>
      <c r="AI531" s="38"/>
      <c r="AJ531" s="38"/>
      <c r="AK531" s="38"/>
    </row>
    <row r="53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  <c r="AB532" s="38"/>
      <c r="AC532" s="38"/>
      <c r="AD532" s="38"/>
      <c r="AE532" s="38"/>
      <c r="AF532" s="38"/>
      <c r="AG532" s="38"/>
      <c r="AH532" s="38"/>
      <c r="AI532" s="38"/>
      <c r="AJ532" s="38"/>
      <c r="AK532" s="38"/>
    </row>
    <row r="533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  <c r="AB533" s="38"/>
      <c r="AC533" s="38"/>
      <c r="AD533" s="38"/>
      <c r="AE533" s="38"/>
      <c r="AF533" s="38"/>
      <c r="AG533" s="38"/>
      <c r="AH533" s="38"/>
      <c r="AI533" s="38"/>
      <c r="AJ533" s="38"/>
      <c r="AK533" s="38"/>
    </row>
    <row r="534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  <c r="AB534" s="38"/>
      <c r="AC534" s="38"/>
      <c r="AD534" s="38"/>
      <c r="AE534" s="38"/>
      <c r="AF534" s="38"/>
      <c r="AG534" s="38"/>
      <c r="AH534" s="38"/>
      <c r="AI534" s="38"/>
      <c r="AJ534" s="38"/>
      <c r="AK534" s="38"/>
    </row>
    <row r="535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  <c r="AB535" s="38"/>
      <c r="AC535" s="38"/>
      <c r="AD535" s="38"/>
      <c r="AE535" s="38"/>
      <c r="AF535" s="38"/>
      <c r="AG535" s="38"/>
      <c r="AH535" s="38"/>
      <c r="AI535" s="38"/>
      <c r="AJ535" s="38"/>
      <c r="AK535" s="38"/>
    </row>
    <row r="536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  <c r="AB536" s="38"/>
      <c r="AC536" s="38"/>
      <c r="AD536" s="38"/>
      <c r="AE536" s="38"/>
      <c r="AF536" s="38"/>
      <c r="AG536" s="38"/>
      <c r="AH536" s="38"/>
      <c r="AI536" s="38"/>
      <c r="AJ536" s="38"/>
      <c r="AK536" s="38"/>
    </row>
    <row r="537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  <c r="AB537" s="38"/>
      <c r="AC537" s="38"/>
      <c r="AD537" s="38"/>
      <c r="AE537" s="38"/>
      <c r="AF537" s="38"/>
      <c r="AG537" s="38"/>
      <c r="AH537" s="38"/>
      <c r="AI537" s="38"/>
      <c r="AJ537" s="38"/>
      <c r="AK537" s="38"/>
    </row>
    <row r="538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  <c r="AB538" s="38"/>
      <c r="AC538" s="38"/>
      <c r="AD538" s="38"/>
      <c r="AE538" s="38"/>
      <c r="AF538" s="38"/>
      <c r="AG538" s="38"/>
      <c r="AH538" s="38"/>
      <c r="AI538" s="38"/>
      <c r="AJ538" s="38"/>
      <c r="AK538" s="38"/>
    </row>
    <row r="539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  <c r="AB539" s="38"/>
      <c r="AC539" s="38"/>
      <c r="AD539" s="38"/>
      <c r="AE539" s="38"/>
      <c r="AF539" s="38"/>
      <c r="AG539" s="38"/>
      <c r="AH539" s="38"/>
      <c r="AI539" s="38"/>
      <c r="AJ539" s="38"/>
      <c r="AK539" s="38"/>
    </row>
    <row r="540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  <c r="AB540" s="38"/>
      <c r="AC540" s="38"/>
      <c r="AD540" s="38"/>
      <c r="AE540" s="38"/>
      <c r="AF540" s="38"/>
      <c r="AG540" s="38"/>
      <c r="AH540" s="38"/>
      <c r="AI540" s="38"/>
      <c r="AJ540" s="38"/>
      <c r="AK540" s="38"/>
    </row>
    <row r="54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  <c r="AB541" s="38"/>
      <c r="AC541" s="38"/>
      <c r="AD541" s="38"/>
      <c r="AE541" s="38"/>
      <c r="AF541" s="38"/>
      <c r="AG541" s="38"/>
      <c r="AH541" s="38"/>
      <c r="AI541" s="38"/>
      <c r="AJ541" s="38"/>
      <c r="AK541" s="38"/>
    </row>
    <row r="54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  <c r="AB542" s="38"/>
      <c r="AC542" s="38"/>
      <c r="AD542" s="38"/>
      <c r="AE542" s="38"/>
      <c r="AF542" s="38"/>
      <c r="AG542" s="38"/>
      <c r="AH542" s="38"/>
      <c r="AI542" s="38"/>
      <c r="AJ542" s="38"/>
      <c r="AK542" s="38"/>
    </row>
    <row r="543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  <c r="AB543" s="38"/>
      <c r="AC543" s="38"/>
      <c r="AD543" s="38"/>
      <c r="AE543" s="38"/>
      <c r="AF543" s="38"/>
      <c r="AG543" s="38"/>
      <c r="AH543" s="38"/>
      <c r="AI543" s="38"/>
      <c r="AJ543" s="38"/>
      <c r="AK543" s="38"/>
    </row>
    <row r="544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  <c r="AB544" s="38"/>
      <c r="AC544" s="38"/>
      <c r="AD544" s="38"/>
      <c r="AE544" s="38"/>
      <c r="AF544" s="38"/>
      <c r="AG544" s="38"/>
      <c r="AH544" s="38"/>
      <c r="AI544" s="38"/>
      <c r="AJ544" s="38"/>
      <c r="AK544" s="38"/>
    </row>
    <row r="545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  <c r="AB545" s="38"/>
      <c r="AC545" s="38"/>
      <c r="AD545" s="38"/>
      <c r="AE545" s="38"/>
      <c r="AF545" s="38"/>
      <c r="AG545" s="38"/>
      <c r="AH545" s="38"/>
      <c r="AI545" s="38"/>
      <c r="AJ545" s="38"/>
      <c r="AK545" s="38"/>
    </row>
    <row r="546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  <c r="AB546" s="38"/>
      <c r="AC546" s="38"/>
      <c r="AD546" s="38"/>
      <c r="AE546" s="38"/>
      <c r="AF546" s="38"/>
      <c r="AG546" s="38"/>
      <c r="AH546" s="38"/>
      <c r="AI546" s="38"/>
      <c r="AJ546" s="38"/>
      <c r="AK546" s="38"/>
    </row>
    <row r="547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  <c r="AB547" s="38"/>
      <c r="AC547" s="38"/>
      <c r="AD547" s="38"/>
      <c r="AE547" s="38"/>
      <c r="AF547" s="38"/>
      <c r="AG547" s="38"/>
      <c r="AH547" s="38"/>
      <c r="AI547" s="38"/>
      <c r="AJ547" s="38"/>
      <c r="AK547" s="38"/>
    </row>
    <row r="548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  <c r="AB548" s="38"/>
      <c r="AC548" s="38"/>
      <c r="AD548" s="38"/>
      <c r="AE548" s="38"/>
      <c r="AF548" s="38"/>
      <c r="AG548" s="38"/>
      <c r="AH548" s="38"/>
      <c r="AI548" s="38"/>
      <c r="AJ548" s="38"/>
      <c r="AK548" s="38"/>
    </row>
    <row r="549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  <c r="AB549" s="38"/>
      <c r="AC549" s="38"/>
      <c r="AD549" s="38"/>
      <c r="AE549" s="38"/>
      <c r="AF549" s="38"/>
      <c r="AG549" s="38"/>
      <c r="AH549" s="38"/>
      <c r="AI549" s="38"/>
      <c r="AJ549" s="38"/>
      <c r="AK549" s="38"/>
    </row>
    <row r="550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  <c r="AB550" s="38"/>
      <c r="AC550" s="38"/>
      <c r="AD550" s="38"/>
      <c r="AE550" s="38"/>
      <c r="AF550" s="38"/>
      <c r="AG550" s="38"/>
      <c r="AH550" s="38"/>
      <c r="AI550" s="38"/>
      <c r="AJ550" s="38"/>
      <c r="AK550" s="38"/>
    </row>
    <row r="55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  <c r="AB551" s="38"/>
      <c r="AC551" s="38"/>
      <c r="AD551" s="38"/>
      <c r="AE551" s="38"/>
      <c r="AF551" s="38"/>
      <c r="AG551" s="38"/>
      <c r="AH551" s="38"/>
      <c r="AI551" s="38"/>
      <c r="AJ551" s="38"/>
      <c r="AK551" s="38"/>
    </row>
    <row r="55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  <c r="AB552" s="38"/>
      <c r="AC552" s="38"/>
      <c r="AD552" s="38"/>
      <c r="AE552" s="38"/>
      <c r="AF552" s="38"/>
      <c r="AG552" s="38"/>
      <c r="AH552" s="38"/>
      <c r="AI552" s="38"/>
      <c r="AJ552" s="38"/>
      <c r="AK552" s="38"/>
    </row>
    <row r="553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  <c r="AB553" s="38"/>
      <c r="AC553" s="38"/>
      <c r="AD553" s="38"/>
      <c r="AE553" s="38"/>
      <c r="AF553" s="38"/>
      <c r="AG553" s="38"/>
      <c r="AH553" s="38"/>
      <c r="AI553" s="38"/>
      <c r="AJ553" s="38"/>
      <c r="AK553" s="38"/>
    </row>
    <row r="554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  <c r="AB554" s="38"/>
      <c r="AC554" s="38"/>
      <c r="AD554" s="38"/>
      <c r="AE554" s="38"/>
      <c r="AF554" s="38"/>
      <c r="AG554" s="38"/>
      <c r="AH554" s="38"/>
      <c r="AI554" s="38"/>
      <c r="AJ554" s="38"/>
      <c r="AK554" s="38"/>
    </row>
    <row r="555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  <c r="AB555" s="38"/>
      <c r="AC555" s="38"/>
      <c r="AD555" s="38"/>
      <c r="AE555" s="38"/>
      <c r="AF555" s="38"/>
      <c r="AG555" s="38"/>
      <c r="AH555" s="38"/>
      <c r="AI555" s="38"/>
      <c r="AJ555" s="38"/>
      <c r="AK555" s="38"/>
    </row>
    <row r="556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  <c r="AB556" s="38"/>
      <c r="AC556" s="38"/>
      <c r="AD556" s="38"/>
      <c r="AE556" s="38"/>
      <c r="AF556" s="38"/>
      <c r="AG556" s="38"/>
      <c r="AH556" s="38"/>
      <c r="AI556" s="38"/>
      <c r="AJ556" s="38"/>
      <c r="AK556" s="38"/>
    </row>
    <row r="557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  <c r="AB557" s="38"/>
      <c r="AC557" s="38"/>
      <c r="AD557" s="38"/>
      <c r="AE557" s="38"/>
      <c r="AF557" s="38"/>
      <c r="AG557" s="38"/>
      <c r="AH557" s="38"/>
      <c r="AI557" s="38"/>
      <c r="AJ557" s="38"/>
      <c r="AK557" s="38"/>
    </row>
    <row r="558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  <c r="AB558" s="38"/>
      <c r="AC558" s="38"/>
      <c r="AD558" s="38"/>
      <c r="AE558" s="38"/>
      <c r="AF558" s="38"/>
      <c r="AG558" s="38"/>
      <c r="AH558" s="38"/>
      <c r="AI558" s="38"/>
      <c r="AJ558" s="38"/>
      <c r="AK558" s="38"/>
    </row>
    <row r="559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  <c r="AB559" s="38"/>
      <c r="AC559" s="38"/>
      <c r="AD559" s="38"/>
      <c r="AE559" s="38"/>
      <c r="AF559" s="38"/>
      <c r="AG559" s="38"/>
      <c r="AH559" s="38"/>
      <c r="AI559" s="38"/>
      <c r="AJ559" s="38"/>
      <c r="AK559" s="38"/>
    </row>
    <row r="560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  <c r="AB560" s="38"/>
      <c r="AC560" s="38"/>
      <c r="AD560" s="38"/>
      <c r="AE560" s="38"/>
      <c r="AF560" s="38"/>
      <c r="AG560" s="38"/>
      <c r="AH560" s="38"/>
      <c r="AI560" s="38"/>
      <c r="AJ560" s="38"/>
      <c r="AK560" s="38"/>
    </row>
    <row r="56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  <c r="AB561" s="38"/>
      <c r="AC561" s="38"/>
      <c r="AD561" s="38"/>
      <c r="AE561" s="38"/>
      <c r="AF561" s="38"/>
      <c r="AG561" s="38"/>
      <c r="AH561" s="38"/>
      <c r="AI561" s="38"/>
      <c r="AJ561" s="38"/>
      <c r="AK561" s="38"/>
    </row>
    <row r="56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  <c r="AB562" s="38"/>
      <c r="AC562" s="38"/>
      <c r="AD562" s="38"/>
      <c r="AE562" s="38"/>
      <c r="AF562" s="38"/>
      <c r="AG562" s="38"/>
      <c r="AH562" s="38"/>
      <c r="AI562" s="38"/>
      <c r="AJ562" s="38"/>
      <c r="AK562" s="38"/>
    </row>
    <row r="563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  <c r="AB563" s="38"/>
      <c r="AC563" s="38"/>
      <c r="AD563" s="38"/>
      <c r="AE563" s="38"/>
      <c r="AF563" s="38"/>
      <c r="AG563" s="38"/>
      <c r="AH563" s="38"/>
      <c r="AI563" s="38"/>
      <c r="AJ563" s="38"/>
      <c r="AK563" s="38"/>
    </row>
    <row r="564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  <c r="AB564" s="38"/>
      <c r="AC564" s="38"/>
      <c r="AD564" s="38"/>
      <c r="AE564" s="38"/>
      <c r="AF564" s="38"/>
      <c r="AG564" s="38"/>
      <c r="AH564" s="38"/>
      <c r="AI564" s="38"/>
      <c r="AJ564" s="38"/>
      <c r="AK564" s="38"/>
    </row>
    <row r="565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  <c r="AB565" s="38"/>
      <c r="AC565" s="38"/>
      <c r="AD565" s="38"/>
      <c r="AE565" s="38"/>
      <c r="AF565" s="38"/>
      <c r="AG565" s="38"/>
      <c r="AH565" s="38"/>
      <c r="AI565" s="38"/>
      <c r="AJ565" s="38"/>
      <c r="AK565" s="38"/>
    </row>
    <row r="566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  <c r="AD566" s="38"/>
      <c r="AE566" s="38"/>
      <c r="AF566" s="38"/>
      <c r="AG566" s="38"/>
      <c r="AH566" s="38"/>
      <c r="AI566" s="38"/>
      <c r="AJ566" s="38"/>
      <c r="AK566" s="38"/>
    </row>
    <row r="567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  <c r="AB567" s="38"/>
      <c r="AC567" s="38"/>
      <c r="AD567" s="38"/>
      <c r="AE567" s="38"/>
      <c r="AF567" s="38"/>
      <c r="AG567" s="38"/>
      <c r="AH567" s="38"/>
      <c r="AI567" s="38"/>
      <c r="AJ567" s="38"/>
      <c r="AK567" s="38"/>
    </row>
    <row r="568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  <c r="AB568" s="38"/>
      <c r="AC568" s="38"/>
      <c r="AD568" s="38"/>
      <c r="AE568" s="38"/>
      <c r="AF568" s="38"/>
      <c r="AG568" s="38"/>
      <c r="AH568" s="38"/>
      <c r="AI568" s="38"/>
      <c r="AJ568" s="38"/>
      <c r="AK568" s="38"/>
    </row>
    <row r="569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  <c r="AB569" s="38"/>
      <c r="AC569" s="38"/>
      <c r="AD569" s="38"/>
      <c r="AE569" s="38"/>
      <c r="AF569" s="38"/>
      <c r="AG569" s="38"/>
      <c r="AH569" s="38"/>
      <c r="AI569" s="38"/>
      <c r="AJ569" s="38"/>
      <c r="AK569" s="38"/>
    </row>
    <row r="570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  <c r="AB570" s="38"/>
      <c r="AC570" s="38"/>
      <c r="AD570" s="38"/>
      <c r="AE570" s="38"/>
      <c r="AF570" s="38"/>
      <c r="AG570" s="38"/>
      <c r="AH570" s="38"/>
      <c r="AI570" s="38"/>
      <c r="AJ570" s="38"/>
      <c r="AK570" s="38"/>
    </row>
    <row r="57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  <c r="AB571" s="38"/>
      <c r="AC571" s="38"/>
      <c r="AD571" s="38"/>
      <c r="AE571" s="38"/>
      <c r="AF571" s="38"/>
      <c r="AG571" s="38"/>
      <c r="AH571" s="38"/>
      <c r="AI571" s="38"/>
      <c r="AJ571" s="38"/>
      <c r="AK571" s="38"/>
    </row>
    <row r="57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  <c r="AB572" s="38"/>
      <c r="AC572" s="38"/>
      <c r="AD572" s="38"/>
      <c r="AE572" s="38"/>
      <c r="AF572" s="38"/>
      <c r="AG572" s="38"/>
      <c r="AH572" s="38"/>
      <c r="AI572" s="38"/>
      <c r="AJ572" s="38"/>
      <c r="AK572" s="38"/>
    </row>
    <row r="573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  <c r="AB573" s="38"/>
      <c r="AC573" s="38"/>
      <c r="AD573" s="38"/>
      <c r="AE573" s="38"/>
      <c r="AF573" s="38"/>
      <c r="AG573" s="38"/>
      <c r="AH573" s="38"/>
      <c r="AI573" s="38"/>
      <c r="AJ573" s="38"/>
      <c r="AK573" s="38"/>
    </row>
    <row r="574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  <c r="AD574" s="38"/>
      <c r="AE574" s="38"/>
      <c r="AF574" s="38"/>
      <c r="AG574" s="38"/>
      <c r="AH574" s="38"/>
      <c r="AI574" s="38"/>
      <c r="AJ574" s="38"/>
      <c r="AK574" s="38"/>
    </row>
    <row r="575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  <c r="AB575" s="38"/>
      <c r="AC575" s="38"/>
      <c r="AD575" s="38"/>
      <c r="AE575" s="38"/>
      <c r="AF575" s="38"/>
      <c r="AG575" s="38"/>
      <c r="AH575" s="38"/>
      <c r="AI575" s="38"/>
      <c r="AJ575" s="38"/>
      <c r="AK575" s="38"/>
    </row>
    <row r="576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  <c r="AB576" s="38"/>
      <c r="AC576" s="38"/>
      <c r="AD576" s="38"/>
      <c r="AE576" s="38"/>
      <c r="AF576" s="38"/>
      <c r="AG576" s="38"/>
      <c r="AH576" s="38"/>
      <c r="AI576" s="38"/>
      <c r="AJ576" s="38"/>
      <c r="AK576" s="38"/>
    </row>
    <row r="577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  <c r="AB577" s="38"/>
      <c r="AC577" s="38"/>
      <c r="AD577" s="38"/>
      <c r="AE577" s="38"/>
      <c r="AF577" s="38"/>
      <c r="AG577" s="38"/>
      <c r="AH577" s="38"/>
      <c r="AI577" s="38"/>
      <c r="AJ577" s="38"/>
      <c r="AK577" s="38"/>
    </row>
    <row r="578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  <c r="AB578" s="38"/>
      <c r="AC578" s="38"/>
      <c r="AD578" s="38"/>
      <c r="AE578" s="38"/>
      <c r="AF578" s="38"/>
      <c r="AG578" s="38"/>
      <c r="AH578" s="38"/>
      <c r="AI578" s="38"/>
      <c r="AJ578" s="38"/>
      <c r="AK578" s="38"/>
    </row>
    <row r="579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  <c r="AB579" s="38"/>
      <c r="AC579" s="38"/>
      <c r="AD579" s="38"/>
      <c r="AE579" s="38"/>
      <c r="AF579" s="38"/>
      <c r="AG579" s="38"/>
      <c r="AH579" s="38"/>
      <c r="AI579" s="38"/>
      <c r="AJ579" s="38"/>
      <c r="AK579" s="38"/>
    </row>
    <row r="580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  <c r="AB580" s="38"/>
      <c r="AC580" s="38"/>
      <c r="AD580" s="38"/>
      <c r="AE580" s="38"/>
      <c r="AF580" s="38"/>
      <c r="AG580" s="38"/>
      <c r="AH580" s="38"/>
      <c r="AI580" s="38"/>
      <c r="AJ580" s="38"/>
      <c r="AK580" s="38"/>
    </row>
    <row r="58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  <c r="AB581" s="38"/>
      <c r="AC581" s="38"/>
      <c r="AD581" s="38"/>
      <c r="AE581" s="38"/>
      <c r="AF581" s="38"/>
      <c r="AG581" s="38"/>
      <c r="AH581" s="38"/>
      <c r="AI581" s="38"/>
      <c r="AJ581" s="38"/>
      <c r="AK581" s="38"/>
    </row>
    <row r="58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  <c r="AB582" s="38"/>
      <c r="AC582" s="38"/>
      <c r="AD582" s="38"/>
      <c r="AE582" s="38"/>
      <c r="AF582" s="38"/>
      <c r="AG582" s="38"/>
      <c r="AH582" s="38"/>
      <c r="AI582" s="38"/>
      <c r="AJ582" s="38"/>
      <c r="AK582" s="38"/>
    </row>
    <row r="583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  <c r="AD583" s="38"/>
      <c r="AE583" s="38"/>
      <c r="AF583" s="38"/>
      <c r="AG583" s="38"/>
      <c r="AH583" s="38"/>
      <c r="AI583" s="38"/>
      <c r="AJ583" s="38"/>
      <c r="AK583" s="38"/>
    </row>
    <row r="584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  <c r="AD584" s="38"/>
      <c r="AE584" s="38"/>
      <c r="AF584" s="38"/>
      <c r="AG584" s="38"/>
      <c r="AH584" s="38"/>
      <c r="AI584" s="38"/>
      <c r="AJ584" s="38"/>
      <c r="AK584" s="38"/>
    </row>
    <row r="585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  <c r="AD585" s="38"/>
      <c r="AE585" s="38"/>
      <c r="AF585" s="38"/>
      <c r="AG585" s="38"/>
      <c r="AH585" s="38"/>
      <c r="AI585" s="38"/>
      <c r="AJ585" s="38"/>
      <c r="AK585" s="38"/>
    </row>
    <row r="586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  <c r="AD586" s="38"/>
      <c r="AE586" s="38"/>
      <c r="AF586" s="38"/>
      <c r="AG586" s="38"/>
      <c r="AH586" s="38"/>
      <c r="AI586" s="38"/>
      <c r="AJ586" s="38"/>
      <c r="AK586" s="38"/>
    </row>
    <row r="587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  <c r="AD587" s="38"/>
      <c r="AE587" s="38"/>
      <c r="AF587" s="38"/>
      <c r="AG587" s="38"/>
      <c r="AH587" s="38"/>
      <c r="AI587" s="38"/>
      <c r="AJ587" s="38"/>
      <c r="AK587" s="38"/>
    </row>
    <row r="588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  <c r="AD588" s="38"/>
      <c r="AE588" s="38"/>
      <c r="AF588" s="38"/>
      <c r="AG588" s="38"/>
      <c r="AH588" s="38"/>
      <c r="AI588" s="38"/>
      <c r="AJ588" s="38"/>
      <c r="AK588" s="38"/>
    </row>
    <row r="589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  <c r="AD589" s="38"/>
      <c r="AE589" s="38"/>
      <c r="AF589" s="38"/>
      <c r="AG589" s="38"/>
      <c r="AH589" s="38"/>
      <c r="AI589" s="38"/>
      <c r="AJ589" s="38"/>
      <c r="AK589" s="38"/>
    </row>
    <row r="590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  <c r="AD590" s="38"/>
      <c r="AE590" s="38"/>
      <c r="AF590" s="38"/>
      <c r="AG590" s="38"/>
      <c r="AH590" s="38"/>
      <c r="AI590" s="38"/>
      <c r="AJ590" s="38"/>
      <c r="AK590" s="38"/>
    </row>
    <row r="59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  <c r="AD591" s="38"/>
      <c r="AE591" s="38"/>
      <c r="AF591" s="38"/>
      <c r="AG591" s="38"/>
      <c r="AH591" s="38"/>
      <c r="AI591" s="38"/>
      <c r="AJ591" s="38"/>
      <c r="AK591" s="38"/>
    </row>
    <row r="59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  <c r="AD592" s="38"/>
      <c r="AE592" s="38"/>
      <c r="AF592" s="38"/>
      <c r="AG592" s="38"/>
      <c r="AH592" s="38"/>
      <c r="AI592" s="38"/>
      <c r="AJ592" s="38"/>
      <c r="AK592" s="38"/>
    </row>
    <row r="593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  <c r="AD593" s="38"/>
      <c r="AE593" s="38"/>
      <c r="AF593" s="38"/>
      <c r="AG593" s="38"/>
      <c r="AH593" s="38"/>
      <c r="AI593" s="38"/>
      <c r="AJ593" s="38"/>
      <c r="AK593" s="38"/>
    </row>
    <row r="594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  <c r="AD594" s="38"/>
      <c r="AE594" s="38"/>
      <c r="AF594" s="38"/>
      <c r="AG594" s="38"/>
      <c r="AH594" s="38"/>
      <c r="AI594" s="38"/>
      <c r="AJ594" s="38"/>
      <c r="AK594" s="38"/>
    </row>
    <row r="595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  <c r="AB595" s="38"/>
      <c r="AC595" s="38"/>
      <c r="AD595" s="38"/>
      <c r="AE595" s="38"/>
      <c r="AF595" s="38"/>
      <c r="AG595" s="38"/>
      <c r="AH595" s="38"/>
      <c r="AI595" s="38"/>
      <c r="AJ595" s="38"/>
      <c r="AK595" s="38"/>
    </row>
    <row r="596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  <c r="AD596" s="38"/>
      <c r="AE596" s="38"/>
      <c r="AF596" s="38"/>
      <c r="AG596" s="38"/>
      <c r="AH596" s="38"/>
      <c r="AI596" s="38"/>
      <c r="AJ596" s="38"/>
      <c r="AK596" s="38"/>
    </row>
    <row r="597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  <c r="AB597" s="38"/>
      <c r="AC597" s="38"/>
      <c r="AD597" s="38"/>
      <c r="AE597" s="38"/>
      <c r="AF597" s="38"/>
      <c r="AG597" s="38"/>
      <c r="AH597" s="38"/>
      <c r="AI597" s="38"/>
      <c r="AJ597" s="38"/>
      <c r="AK597" s="38"/>
    </row>
    <row r="598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  <c r="AD598" s="38"/>
      <c r="AE598" s="38"/>
      <c r="AF598" s="38"/>
      <c r="AG598" s="38"/>
      <c r="AH598" s="38"/>
      <c r="AI598" s="38"/>
      <c r="AJ598" s="38"/>
      <c r="AK598" s="38"/>
    </row>
    <row r="599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  <c r="AB599" s="38"/>
      <c r="AC599" s="38"/>
      <c r="AD599" s="38"/>
      <c r="AE599" s="38"/>
      <c r="AF599" s="38"/>
      <c r="AG599" s="38"/>
      <c r="AH599" s="38"/>
      <c r="AI599" s="38"/>
      <c r="AJ599" s="38"/>
      <c r="AK599" s="38"/>
    </row>
    <row r="600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  <c r="AB600" s="38"/>
      <c r="AC600" s="38"/>
      <c r="AD600" s="38"/>
      <c r="AE600" s="38"/>
      <c r="AF600" s="38"/>
      <c r="AG600" s="38"/>
      <c r="AH600" s="38"/>
      <c r="AI600" s="38"/>
      <c r="AJ600" s="38"/>
      <c r="AK600" s="38"/>
    </row>
    <row r="60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  <c r="AD601" s="38"/>
      <c r="AE601" s="38"/>
      <c r="AF601" s="38"/>
      <c r="AG601" s="38"/>
      <c r="AH601" s="38"/>
      <c r="AI601" s="38"/>
      <c r="AJ601" s="38"/>
      <c r="AK601" s="38"/>
    </row>
    <row r="60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  <c r="AD602" s="38"/>
      <c r="AE602" s="38"/>
      <c r="AF602" s="38"/>
      <c r="AG602" s="38"/>
      <c r="AH602" s="38"/>
      <c r="AI602" s="38"/>
      <c r="AJ602" s="38"/>
      <c r="AK602" s="38"/>
    </row>
    <row r="603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  <c r="AD603" s="38"/>
      <c r="AE603" s="38"/>
      <c r="AF603" s="38"/>
      <c r="AG603" s="38"/>
      <c r="AH603" s="38"/>
      <c r="AI603" s="38"/>
      <c r="AJ603" s="38"/>
      <c r="AK603" s="38"/>
    </row>
    <row r="604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  <c r="AB604" s="38"/>
      <c r="AC604" s="38"/>
      <c r="AD604" s="38"/>
      <c r="AE604" s="38"/>
      <c r="AF604" s="38"/>
      <c r="AG604" s="38"/>
      <c r="AH604" s="38"/>
      <c r="AI604" s="38"/>
      <c r="AJ604" s="38"/>
      <c r="AK604" s="38"/>
    </row>
    <row r="605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  <c r="AB605" s="38"/>
      <c r="AC605" s="38"/>
      <c r="AD605" s="38"/>
      <c r="AE605" s="38"/>
      <c r="AF605" s="38"/>
      <c r="AG605" s="38"/>
      <c r="AH605" s="38"/>
      <c r="AI605" s="38"/>
      <c r="AJ605" s="38"/>
      <c r="AK605" s="38"/>
    </row>
    <row r="606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  <c r="AD606" s="38"/>
      <c r="AE606" s="38"/>
      <c r="AF606" s="38"/>
      <c r="AG606" s="38"/>
      <c r="AH606" s="38"/>
      <c r="AI606" s="38"/>
      <c r="AJ606" s="38"/>
      <c r="AK606" s="38"/>
    </row>
    <row r="607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  <c r="AD607" s="38"/>
      <c r="AE607" s="38"/>
      <c r="AF607" s="38"/>
      <c r="AG607" s="38"/>
      <c r="AH607" s="38"/>
      <c r="AI607" s="38"/>
      <c r="AJ607" s="38"/>
      <c r="AK607" s="38"/>
    </row>
    <row r="608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  <c r="AD608" s="38"/>
      <c r="AE608" s="38"/>
      <c r="AF608" s="38"/>
      <c r="AG608" s="38"/>
      <c r="AH608" s="38"/>
      <c r="AI608" s="38"/>
      <c r="AJ608" s="38"/>
      <c r="AK608" s="38"/>
    </row>
    <row r="609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  <c r="AB609" s="38"/>
      <c r="AC609" s="38"/>
      <c r="AD609" s="38"/>
      <c r="AE609" s="38"/>
      <c r="AF609" s="38"/>
      <c r="AG609" s="38"/>
      <c r="AH609" s="38"/>
      <c r="AI609" s="38"/>
      <c r="AJ609" s="38"/>
      <c r="AK609" s="38"/>
    </row>
    <row r="610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  <c r="AD610" s="38"/>
      <c r="AE610" s="38"/>
      <c r="AF610" s="38"/>
      <c r="AG610" s="38"/>
      <c r="AH610" s="38"/>
      <c r="AI610" s="38"/>
      <c r="AJ610" s="38"/>
      <c r="AK610" s="38"/>
    </row>
    <row r="61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  <c r="AB611" s="38"/>
      <c r="AC611" s="38"/>
      <c r="AD611" s="38"/>
      <c r="AE611" s="38"/>
      <c r="AF611" s="38"/>
      <c r="AG611" s="38"/>
      <c r="AH611" s="38"/>
      <c r="AI611" s="38"/>
      <c r="AJ611" s="38"/>
      <c r="AK611" s="38"/>
    </row>
    <row r="61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  <c r="AD612" s="38"/>
      <c r="AE612" s="38"/>
      <c r="AF612" s="38"/>
      <c r="AG612" s="38"/>
      <c r="AH612" s="38"/>
      <c r="AI612" s="38"/>
      <c r="AJ612" s="38"/>
      <c r="AK612" s="38"/>
    </row>
    <row r="613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  <c r="AD613" s="38"/>
      <c r="AE613" s="38"/>
      <c r="AF613" s="38"/>
      <c r="AG613" s="38"/>
      <c r="AH613" s="38"/>
      <c r="AI613" s="38"/>
      <c r="AJ613" s="38"/>
      <c r="AK613" s="38"/>
    </row>
    <row r="614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  <c r="AD614" s="38"/>
      <c r="AE614" s="38"/>
      <c r="AF614" s="38"/>
      <c r="AG614" s="38"/>
      <c r="AH614" s="38"/>
      <c r="AI614" s="38"/>
      <c r="AJ614" s="38"/>
      <c r="AK614" s="38"/>
    </row>
    <row r="615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  <c r="AD615" s="38"/>
      <c r="AE615" s="38"/>
      <c r="AF615" s="38"/>
      <c r="AG615" s="38"/>
      <c r="AH615" s="38"/>
      <c r="AI615" s="38"/>
      <c r="AJ615" s="38"/>
      <c r="AK615" s="38"/>
    </row>
    <row r="616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  <c r="AD616" s="38"/>
      <c r="AE616" s="38"/>
      <c r="AF616" s="38"/>
      <c r="AG616" s="38"/>
      <c r="AH616" s="38"/>
      <c r="AI616" s="38"/>
      <c r="AJ616" s="38"/>
      <c r="AK616" s="38"/>
    </row>
    <row r="617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  <c r="AD617" s="38"/>
      <c r="AE617" s="38"/>
      <c r="AF617" s="38"/>
      <c r="AG617" s="38"/>
      <c r="AH617" s="38"/>
      <c r="AI617" s="38"/>
      <c r="AJ617" s="38"/>
      <c r="AK617" s="38"/>
    </row>
    <row r="618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  <c r="AD618" s="38"/>
      <c r="AE618" s="38"/>
      <c r="AF618" s="38"/>
      <c r="AG618" s="38"/>
      <c r="AH618" s="38"/>
      <c r="AI618" s="38"/>
      <c r="AJ618" s="38"/>
      <c r="AK618" s="38"/>
    </row>
    <row r="619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  <c r="AB619" s="38"/>
      <c r="AC619" s="38"/>
      <c r="AD619" s="38"/>
      <c r="AE619" s="38"/>
      <c r="AF619" s="38"/>
      <c r="AG619" s="38"/>
      <c r="AH619" s="38"/>
      <c r="AI619" s="38"/>
      <c r="AJ619" s="38"/>
      <c r="AK619" s="38"/>
    </row>
    <row r="620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  <c r="AB620" s="38"/>
      <c r="AC620" s="38"/>
      <c r="AD620" s="38"/>
      <c r="AE620" s="38"/>
      <c r="AF620" s="38"/>
      <c r="AG620" s="38"/>
      <c r="AH620" s="38"/>
      <c r="AI620" s="38"/>
      <c r="AJ620" s="38"/>
      <c r="AK620" s="38"/>
    </row>
    <row r="62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  <c r="AD621" s="38"/>
      <c r="AE621" s="38"/>
      <c r="AF621" s="38"/>
      <c r="AG621" s="38"/>
      <c r="AH621" s="38"/>
      <c r="AI621" s="38"/>
      <c r="AJ621" s="38"/>
      <c r="AK621" s="38"/>
    </row>
    <row r="62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  <c r="AD622" s="38"/>
      <c r="AE622" s="38"/>
      <c r="AF622" s="38"/>
      <c r="AG622" s="38"/>
      <c r="AH622" s="38"/>
      <c r="AI622" s="38"/>
      <c r="AJ622" s="38"/>
      <c r="AK622" s="38"/>
    </row>
    <row r="623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  <c r="AB623" s="38"/>
      <c r="AC623" s="38"/>
      <c r="AD623" s="38"/>
      <c r="AE623" s="38"/>
      <c r="AF623" s="38"/>
      <c r="AG623" s="38"/>
      <c r="AH623" s="38"/>
      <c r="AI623" s="38"/>
      <c r="AJ623" s="38"/>
      <c r="AK623" s="38"/>
    </row>
    <row r="624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  <c r="AB624" s="38"/>
      <c r="AC624" s="38"/>
      <c r="AD624" s="38"/>
      <c r="AE624" s="38"/>
      <c r="AF624" s="38"/>
      <c r="AG624" s="38"/>
      <c r="AH624" s="38"/>
      <c r="AI624" s="38"/>
      <c r="AJ624" s="38"/>
      <c r="AK624" s="38"/>
    </row>
    <row r="625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  <c r="AB625" s="38"/>
      <c r="AC625" s="38"/>
      <c r="AD625" s="38"/>
      <c r="AE625" s="38"/>
      <c r="AF625" s="38"/>
      <c r="AG625" s="38"/>
      <c r="AH625" s="38"/>
      <c r="AI625" s="38"/>
      <c r="AJ625" s="38"/>
      <c r="AK625" s="38"/>
    </row>
    <row r="626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  <c r="AB626" s="38"/>
      <c r="AC626" s="38"/>
      <c r="AD626" s="38"/>
      <c r="AE626" s="38"/>
      <c r="AF626" s="38"/>
      <c r="AG626" s="38"/>
      <c r="AH626" s="38"/>
      <c r="AI626" s="38"/>
      <c r="AJ626" s="38"/>
      <c r="AK626" s="38"/>
    </row>
    <row r="627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  <c r="AB627" s="38"/>
      <c r="AC627" s="38"/>
      <c r="AD627" s="38"/>
      <c r="AE627" s="38"/>
      <c r="AF627" s="38"/>
      <c r="AG627" s="38"/>
      <c r="AH627" s="38"/>
      <c r="AI627" s="38"/>
      <c r="AJ627" s="38"/>
      <c r="AK627" s="38"/>
    </row>
    <row r="628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  <c r="AB628" s="38"/>
      <c r="AC628" s="38"/>
      <c r="AD628" s="38"/>
      <c r="AE628" s="38"/>
      <c r="AF628" s="38"/>
      <c r="AG628" s="38"/>
      <c r="AH628" s="38"/>
      <c r="AI628" s="38"/>
      <c r="AJ628" s="38"/>
      <c r="AK628" s="38"/>
    </row>
    <row r="629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  <c r="AB629" s="38"/>
      <c r="AC629" s="38"/>
      <c r="AD629" s="38"/>
      <c r="AE629" s="38"/>
      <c r="AF629" s="38"/>
      <c r="AG629" s="38"/>
      <c r="AH629" s="38"/>
      <c r="AI629" s="38"/>
      <c r="AJ629" s="38"/>
      <c r="AK629" s="38"/>
    </row>
    <row r="630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  <c r="AB630" s="38"/>
      <c r="AC630" s="38"/>
      <c r="AD630" s="38"/>
      <c r="AE630" s="38"/>
      <c r="AF630" s="38"/>
      <c r="AG630" s="38"/>
      <c r="AH630" s="38"/>
      <c r="AI630" s="38"/>
      <c r="AJ630" s="38"/>
      <c r="AK630" s="38"/>
    </row>
    <row r="63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  <c r="AB631" s="38"/>
      <c r="AC631" s="38"/>
      <c r="AD631" s="38"/>
      <c r="AE631" s="38"/>
      <c r="AF631" s="38"/>
      <c r="AG631" s="38"/>
      <c r="AH631" s="38"/>
      <c r="AI631" s="38"/>
      <c r="AJ631" s="38"/>
      <c r="AK631" s="38"/>
    </row>
    <row r="63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  <c r="AB632" s="38"/>
      <c r="AC632" s="38"/>
      <c r="AD632" s="38"/>
      <c r="AE632" s="38"/>
      <c r="AF632" s="38"/>
      <c r="AG632" s="38"/>
      <c r="AH632" s="38"/>
      <c r="AI632" s="38"/>
      <c r="AJ632" s="38"/>
      <c r="AK632" s="38"/>
    </row>
    <row r="633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  <c r="AB633" s="38"/>
      <c r="AC633" s="38"/>
      <c r="AD633" s="38"/>
      <c r="AE633" s="38"/>
      <c r="AF633" s="38"/>
      <c r="AG633" s="38"/>
      <c r="AH633" s="38"/>
      <c r="AI633" s="38"/>
      <c r="AJ633" s="38"/>
      <c r="AK633" s="38"/>
    </row>
    <row r="634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  <c r="AB634" s="38"/>
      <c r="AC634" s="38"/>
      <c r="AD634" s="38"/>
      <c r="AE634" s="38"/>
      <c r="AF634" s="38"/>
      <c r="AG634" s="38"/>
      <c r="AH634" s="38"/>
      <c r="AI634" s="38"/>
      <c r="AJ634" s="38"/>
      <c r="AK634" s="38"/>
    </row>
    <row r="635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  <c r="AB635" s="38"/>
      <c r="AC635" s="38"/>
      <c r="AD635" s="38"/>
      <c r="AE635" s="38"/>
      <c r="AF635" s="38"/>
      <c r="AG635" s="38"/>
      <c r="AH635" s="38"/>
      <c r="AI635" s="38"/>
      <c r="AJ635" s="38"/>
      <c r="AK635" s="38"/>
    </row>
    <row r="636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  <c r="AB636" s="38"/>
      <c r="AC636" s="38"/>
      <c r="AD636" s="38"/>
      <c r="AE636" s="38"/>
      <c r="AF636" s="38"/>
      <c r="AG636" s="38"/>
      <c r="AH636" s="38"/>
      <c r="AI636" s="38"/>
      <c r="AJ636" s="38"/>
      <c r="AK636" s="38"/>
    </row>
    <row r="637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  <c r="AB637" s="38"/>
      <c r="AC637" s="38"/>
      <c r="AD637" s="38"/>
      <c r="AE637" s="38"/>
      <c r="AF637" s="38"/>
      <c r="AG637" s="38"/>
      <c r="AH637" s="38"/>
      <c r="AI637" s="38"/>
      <c r="AJ637" s="38"/>
      <c r="AK637" s="38"/>
    </row>
    <row r="638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  <c r="AB638" s="38"/>
      <c r="AC638" s="38"/>
      <c r="AD638" s="38"/>
      <c r="AE638" s="38"/>
      <c r="AF638" s="38"/>
      <c r="AG638" s="38"/>
      <c r="AH638" s="38"/>
      <c r="AI638" s="38"/>
      <c r="AJ638" s="38"/>
      <c r="AK638" s="38"/>
    </row>
    <row r="639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  <c r="AB639" s="38"/>
      <c r="AC639" s="38"/>
      <c r="AD639" s="38"/>
      <c r="AE639" s="38"/>
      <c r="AF639" s="38"/>
      <c r="AG639" s="38"/>
      <c r="AH639" s="38"/>
      <c r="AI639" s="38"/>
      <c r="AJ639" s="38"/>
      <c r="AK639" s="38"/>
    </row>
    <row r="640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  <c r="AB640" s="38"/>
      <c r="AC640" s="38"/>
      <c r="AD640" s="38"/>
      <c r="AE640" s="38"/>
      <c r="AF640" s="38"/>
      <c r="AG640" s="38"/>
      <c r="AH640" s="38"/>
      <c r="AI640" s="38"/>
      <c r="AJ640" s="38"/>
      <c r="AK640" s="38"/>
    </row>
    <row r="64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  <c r="AB641" s="38"/>
      <c r="AC641" s="38"/>
      <c r="AD641" s="38"/>
      <c r="AE641" s="38"/>
      <c r="AF641" s="38"/>
      <c r="AG641" s="38"/>
      <c r="AH641" s="38"/>
      <c r="AI641" s="38"/>
      <c r="AJ641" s="38"/>
      <c r="AK641" s="38"/>
    </row>
    <row r="64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  <c r="AB642" s="38"/>
      <c r="AC642" s="38"/>
      <c r="AD642" s="38"/>
      <c r="AE642" s="38"/>
      <c r="AF642" s="38"/>
      <c r="AG642" s="38"/>
      <c r="AH642" s="38"/>
      <c r="AI642" s="38"/>
      <c r="AJ642" s="38"/>
      <c r="AK642" s="38"/>
    </row>
    <row r="643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  <c r="AB643" s="38"/>
      <c r="AC643" s="38"/>
      <c r="AD643" s="38"/>
      <c r="AE643" s="38"/>
      <c r="AF643" s="38"/>
      <c r="AG643" s="38"/>
      <c r="AH643" s="38"/>
      <c r="AI643" s="38"/>
      <c r="AJ643" s="38"/>
      <c r="AK643" s="38"/>
    </row>
    <row r="644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  <c r="AB644" s="38"/>
      <c r="AC644" s="38"/>
      <c r="AD644" s="38"/>
      <c r="AE644" s="38"/>
      <c r="AF644" s="38"/>
      <c r="AG644" s="38"/>
      <c r="AH644" s="38"/>
      <c r="AI644" s="38"/>
      <c r="AJ644" s="38"/>
      <c r="AK644" s="38"/>
    </row>
    <row r="645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  <c r="AB645" s="38"/>
      <c r="AC645" s="38"/>
      <c r="AD645" s="38"/>
      <c r="AE645" s="38"/>
      <c r="AF645" s="38"/>
      <c r="AG645" s="38"/>
      <c r="AH645" s="38"/>
      <c r="AI645" s="38"/>
      <c r="AJ645" s="38"/>
      <c r="AK645" s="38"/>
    </row>
    <row r="646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  <c r="AB646" s="38"/>
      <c r="AC646" s="38"/>
      <c r="AD646" s="38"/>
      <c r="AE646" s="38"/>
      <c r="AF646" s="38"/>
      <c r="AG646" s="38"/>
      <c r="AH646" s="38"/>
      <c r="AI646" s="38"/>
      <c r="AJ646" s="38"/>
      <c r="AK646" s="38"/>
    </row>
    <row r="647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  <c r="AB647" s="38"/>
      <c r="AC647" s="38"/>
      <c r="AD647" s="38"/>
      <c r="AE647" s="38"/>
      <c r="AF647" s="38"/>
      <c r="AG647" s="38"/>
      <c r="AH647" s="38"/>
      <c r="AI647" s="38"/>
      <c r="AJ647" s="38"/>
      <c r="AK647" s="38"/>
    </row>
    <row r="648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  <c r="AB648" s="38"/>
      <c r="AC648" s="38"/>
      <c r="AD648" s="38"/>
      <c r="AE648" s="38"/>
      <c r="AF648" s="38"/>
      <c r="AG648" s="38"/>
      <c r="AH648" s="38"/>
      <c r="AI648" s="38"/>
      <c r="AJ648" s="38"/>
      <c r="AK648" s="38"/>
    </row>
    <row r="649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  <c r="AB649" s="38"/>
      <c r="AC649" s="38"/>
      <c r="AD649" s="38"/>
      <c r="AE649" s="38"/>
      <c r="AF649" s="38"/>
      <c r="AG649" s="38"/>
      <c r="AH649" s="38"/>
      <c r="AI649" s="38"/>
      <c r="AJ649" s="38"/>
      <c r="AK649" s="38"/>
    </row>
    <row r="650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  <c r="AB650" s="38"/>
      <c r="AC650" s="38"/>
      <c r="AD650" s="38"/>
      <c r="AE650" s="38"/>
      <c r="AF650" s="38"/>
      <c r="AG650" s="38"/>
      <c r="AH650" s="38"/>
      <c r="AI650" s="38"/>
      <c r="AJ650" s="38"/>
      <c r="AK650" s="38"/>
    </row>
    <row r="65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  <c r="AB651" s="38"/>
      <c r="AC651" s="38"/>
      <c r="AD651" s="38"/>
      <c r="AE651" s="38"/>
      <c r="AF651" s="38"/>
      <c r="AG651" s="38"/>
      <c r="AH651" s="38"/>
      <c r="AI651" s="38"/>
      <c r="AJ651" s="38"/>
      <c r="AK651" s="38"/>
    </row>
    <row r="65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  <c r="AB652" s="38"/>
      <c r="AC652" s="38"/>
      <c r="AD652" s="38"/>
      <c r="AE652" s="38"/>
      <c r="AF652" s="38"/>
      <c r="AG652" s="38"/>
      <c r="AH652" s="38"/>
      <c r="AI652" s="38"/>
      <c r="AJ652" s="38"/>
      <c r="AK652" s="38"/>
    </row>
    <row r="653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  <c r="AB653" s="38"/>
      <c r="AC653" s="38"/>
      <c r="AD653" s="38"/>
      <c r="AE653" s="38"/>
      <c r="AF653" s="38"/>
      <c r="AG653" s="38"/>
      <c r="AH653" s="38"/>
      <c r="AI653" s="38"/>
      <c r="AJ653" s="38"/>
      <c r="AK653" s="38"/>
    </row>
    <row r="654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  <c r="AB654" s="38"/>
      <c r="AC654" s="38"/>
      <c r="AD654" s="38"/>
      <c r="AE654" s="38"/>
      <c r="AF654" s="38"/>
      <c r="AG654" s="38"/>
      <c r="AH654" s="38"/>
      <c r="AI654" s="38"/>
      <c r="AJ654" s="38"/>
      <c r="AK654" s="38"/>
    </row>
    <row r="655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  <c r="AB655" s="38"/>
      <c r="AC655" s="38"/>
      <c r="AD655" s="38"/>
      <c r="AE655" s="38"/>
      <c r="AF655" s="38"/>
      <c r="AG655" s="38"/>
      <c r="AH655" s="38"/>
      <c r="AI655" s="38"/>
      <c r="AJ655" s="38"/>
      <c r="AK655" s="38"/>
    </row>
    <row r="656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  <c r="AB656" s="38"/>
      <c r="AC656" s="38"/>
      <c r="AD656" s="38"/>
      <c r="AE656" s="38"/>
      <c r="AF656" s="38"/>
      <c r="AG656" s="38"/>
      <c r="AH656" s="38"/>
      <c r="AI656" s="38"/>
      <c r="AJ656" s="38"/>
      <c r="AK656" s="38"/>
    </row>
    <row r="657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  <c r="AB657" s="38"/>
      <c r="AC657" s="38"/>
      <c r="AD657" s="38"/>
      <c r="AE657" s="38"/>
      <c r="AF657" s="38"/>
      <c r="AG657" s="38"/>
      <c r="AH657" s="38"/>
      <c r="AI657" s="38"/>
      <c r="AJ657" s="38"/>
      <c r="AK657" s="38"/>
    </row>
    <row r="658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  <c r="AB658" s="38"/>
      <c r="AC658" s="38"/>
      <c r="AD658" s="38"/>
      <c r="AE658" s="38"/>
      <c r="AF658" s="38"/>
      <c r="AG658" s="38"/>
      <c r="AH658" s="38"/>
      <c r="AI658" s="38"/>
      <c r="AJ658" s="38"/>
      <c r="AK658" s="38"/>
    </row>
    <row r="659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  <c r="AB659" s="38"/>
      <c r="AC659" s="38"/>
      <c r="AD659" s="38"/>
      <c r="AE659" s="38"/>
      <c r="AF659" s="38"/>
      <c r="AG659" s="38"/>
      <c r="AH659" s="38"/>
      <c r="AI659" s="38"/>
      <c r="AJ659" s="38"/>
      <c r="AK659" s="38"/>
    </row>
    <row r="660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  <c r="AB660" s="38"/>
      <c r="AC660" s="38"/>
      <c r="AD660" s="38"/>
      <c r="AE660" s="38"/>
      <c r="AF660" s="38"/>
      <c r="AG660" s="38"/>
      <c r="AH660" s="38"/>
      <c r="AI660" s="38"/>
      <c r="AJ660" s="38"/>
      <c r="AK660" s="38"/>
    </row>
    <row r="66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  <c r="AB661" s="38"/>
      <c r="AC661" s="38"/>
      <c r="AD661" s="38"/>
      <c r="AE661" s="38"/>
      <c r="AF661" s="38"/>
      <c r="AG661" s="38"/>
      <c r="AH661" s="38"/>
      <c r="AI661" s="38"/>
      <c r="AJ661" s="38"/>
      <c r="AK661" s="38"/>
    </row>
    <row r="66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  <c r="AB662" s="38"/>
      <c r="AC662" s="38"/>
      <c r="AD662" s="38"/>
      <c r="AE662" s="38"/>
      <c r="AF662" s="38"/>
      <c r="AG662" s="38"/>
      <c r="AH662" s="38"/>
      <c r="AI662" s="38"/>
      <c r="AJ662" s="38"/>
      <c r="AK662" s="38"/>
    </row>
    <row r="663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  <c r="AB663" s="38"/>
      <c r="AC663" s="38"/>
      <c r="AD663" s="38"/>
      <c r="AE663" s="38"/>
      <c r="AF663" s="38"/>
      <c r="AG663" s="38"/>
      <c r="AH663" s="38"/>
      <c r="AI663" s="38"/>
      <c r="AJ663" s="38"/>
      <c r="AK663" s="38"/>
    </row>
    <row r="664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  <c r="AB664" s="38"/>
      <c r="AC664" s="38"/>
      <c r="AD664" s="38"/>
      <c r="AE664" s="38"/>
      <c r="AF664" s="38"/>
      <c r="AG664" s="38"/>
      <c r="AH664" s="38"/>
      <c r="AI664" s="38"/>
      <c r="AJ664" s="38"/>
      <c r="AK664" s="38"/>
    </row>
    <row r="665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  <c r="AB665" s="38"/>
      <c r="AC665" s="38"/>
      <c r="AD665" s="38"/>
      <c r="AE665" s="38"/>
      <c r="AF665" s="38"/>
      <c r="AG665" s="38"/>
      <c r="AH665" s="38"/>
      <c r="AI665" s="38"/>
      <c r="AJ665" s="38"/>
      <c r="AK665" s="38"/>
    </row>
    <row r="666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  <c r="AB666" s="38"/>
      <c r="AC666" s="38"/>
      <c r="AD666" s="38"/>
      <c r="AE666" s="38"/>
      <c r="AF666" s="38"/>
      <c r="AG666" s="38"/>
      <c r="AH666" s="38"/>
      <c r="AI666" s="38"/>
      <c r="AJ666" s="38"/>
      <c r="AK666" s="38"/>
    </row>
    <row r="667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  <c r="AB667" s="38"/>
      <c r="AC667" s="38"/>
      <c r="AD667" s="38"/>
      <c r="AE667" s="38"/>
      <c r="AF667" s="38"/>
      <c r="AG667" s="38"/>
      <c r="AH667" s="38"/>
      <c r="AI667" s="38"/>
      <c r="AJ667" s="38"/>
      <c r="AK667" s="38"/>
    </row>
    <row r="668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  <c r="AB668" s="38"/>
      <c r="AC668" s="38"/>
      <c r="AD668" s="38"/>
      <c r="AE668" s="38"/>
      <c r="AF668" s="38"/>
      <c r="AG668" s="38"/>
      <c r="AH668" s="38"/>
      <c r="AI668" s="38"/>
      <c r="AJ668" s="38"/>
      <c r="AK668" s="38"/>
    </row>
    <row r="669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  <c r="AB669" s="38"/>
      <c r="AC669" s="38"/>
      <c r="AD669" s="38"/>
      <c r="AE669" s="38"/>
      <c r="AF669" s="38"/>
      <c r="AG669" s="38"/>
      <c r="AH669" s="38"/>
      <c r="AI669" s="38"/>
      <c r="AJ669" s="38"/>
      <c r="AK669" s="38"/>
    </row>
    <row r="670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  <c r="AB670" s="38"/>
      <c r="AC670" s="38"/>
      <c r="AD670" s="38"/>
      <c r="AE670" s="38"/>
      <c r="AF670" s="38"/>
      <c r="AG670" s="38"/>
      <c r="AH670" s="38"/>
      <c r="AI670" s="38"/>
      <c r="AJ670" s="38"/>
      <c r="AK670" s="38"/>
    </row>
    <row r="67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  <c r="AB671" s="38"/>
      <c r="AC671" s="38"/>
      <c r="AD671" s="38"/>
      <c r="AE671" s="38"/>
      <c r="AF671" s="38"/>
      <c r="AG671" s="38"/>
      <c r="AH671" s="38"/>
      <c r="AI671" s="38"/>
      <c r="AJ671" s="38"/>
      <c r="AK671" s="38"/>
    </row>
    <row r="67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  <c r="AB672" s="38"/>
      <c r="AC672" s="38"/>
      <c r="AD672" s="38"/>
      <c r="AE672" s="38"/>
      <c r="AF672" s="38"/>
      <c r="AG672" s="38"/>
      <c r="AH672" s="38"/>
      <c r="AI672" s="38"/>
      <c r="AJ672" s="38"/>
      <c r="AK672" s="38"/>
    </row>
    <row r="673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  <c r="AB673" s="38"/>
      <c r="AC673" s="38"/>
      <c r="AD673" s="38"/>
      <c r="AE673" s="38"/>
      <c r="AF673" s="38"/>
      <c r="AG673" s="38"/>
      <c r="AH673" s="38"/>
      <c r="AI673" s="38"/>
      <c r="AJ673" s="38"/>
      <c r="AK673" s="38"/>
    </row>
    <row r="674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  <c r="AB674" s="38"/>
      <c r="AC674" s="38"/>
      <c r="AD674" s="38"/>
      <c r="AE674" s="38"/>
      <c r="AF674" s="38"/>
      <c r="AG674" s="38"/>
      <c r="AH674" s="38"/>
      <c r="AI674" s="38"/>
      <c r="AJ674" s="38"/>
      <c r="AK674" s="38"/>
    </row>
    <row r="675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  <c r="AB675" s="38"/>
      <c r="AC675" s="38"/>
      <c r="AD675" s="38"/>
      <c r="AE675" s="38"/>
      <c r="AF675" s="38"/>
      <c r="AG675" s="38"/>
      <c r="AH675" s="38"/>
      <c r="AI675" s="38"/>
      <c r="AJ675" s="38"/>
      <c r="AK675" s="38"/>
    </row>
    <row r="676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  <c r="AB676" s="38"/>
      <c r="AC676" s="38"/>
      <c r="AD676" s="38"/>
      <c r="AE676" s="38"/>
      <c r="AF676" s="38"/>
      <c r="AG676" s="38"/>
      <c r="AH676" s="38"/>
      <c r="AI676" s="38"/>
      <c r="AJ676" s="38"/>
      <c r="AK676" s="38"/>
    </row>
    <row r="677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  <c r="AB677" s="38"/>
      <c r="AC677" s="38"/>
      <c r="AD677" s="38"/>
      <c r="AE677" s="38"/>
      <c r="AF677" s="38"/>
      <c r="AG677" s="38"/>
      <c r="AH677" s="38"/>
      <c r="AI677" s="38"/>
      <c r="AJ677" s="38"/>
      <c r="AK677" s="38"/>
    </row>
    <row r="678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  <c r="AB678" s="38"/>
      <c r="AC678" s="38"/>
      <c r="AD678" s="38"/>
      <c r="AE678" s="38"/>
      <c r="AF678" s="38"/>
      <c r="AG678" s="38"/>
      <c r="AH678" s="38"/>
      <c r="AI678" s="38"/>
      <c r="AJ678" s="38"/>
      <c r="AK678" s="38"/>
    </row>
    <row r="679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  <c r="AB679" s="38"/>
      <c r="AC679" s="38"/>
      <c r="AD679" s="38"/>
      <c r="AE679" s="38"/>
      <c r="AF679" s="38"/>
      <c r="AG679" s="38"/>
      <c r="AH679" s="38"/>
      <c r="AI679" s="38"/>
      <c r="AJ679" s="38"/>
      <c r="AK679" s="38"/>
    </row>
    <row r="680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  <c r="AB680" s="38"/>
      <c r="AC680" s="38"/>
      <c r="AD680" s="38"/>
      <c r="AE680" s="38"/>
      <c r="AF680" s="38"/>
      <c r="AG680" s="38"/>
      <c r="AH680" s="38"/>
      <c r="AI680" s="38"/>
      <c r="AJ680" s="38"/>
      <c r="AK680" s="38"/>
    </row>
    <row r="68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  <c r="AB681" s="38"/>
      <c r="AC681" s="38"/>
      <c r="AD681" s="38"/>
      <c r="AE681" s="38"/>
      <c r="AF681" s="38"/>
      <c r="AG681" s="38"/>
      <c r="AH681" s="38"/>
      <c r="AI681" s="38"/>
      <c r="AJ681" s="38"/>
      <c r="AK681" s="38"/>
    </row>
    <row r="68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  <c r="AB682" s="38"/>
      <c r="AC682" s="38"/>
      <c r="AD682" s="38"/>
      <c r="AE682" s="38"/>
      <c r="AF682" s="38"/>
      <c r="AG682" s="38"/>
      <c r="AH682" s="38"/>
      <c r="AI682" s="38"/>
      <c r="AJ682" s="38"/>
      <c r="AK682" s="38"/>
    </row>
    <row r="683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  <c r="AB683" s="38"/>
      <c r="AC683" s="38"/>
      <c r="AD683" s="38"/>
      <c r="AE683" s="38"/>
      <c r="AF683" s="38"/>
      <c r="AG683" s="38"/>
      <c r="AH683" s="38"/>
      <c r="AI683" s="38"/>
      <c r="AJ683" s="38"/>
      <c r="AK683" s="38"/>
    </row>
    <row r="684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  <c r="AB684" s="38"/>
      <c r="AC684" s="38"/>
      <c r="AD684" s="38"/>
      <c r="AE684" s="38"/>
      <c r="AF684" s="38"/>
      <c r="AG684" s="38"/>
      <c r="AH684" s="38"/>
      <c r="AI684" s="38"/>
      <c r="AJ684" s="38"/>
      <c r="AK684" s="38"/>
    </row>
    <row r="685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  <c r="AB685" s="38"/>
      <c r="AC685" s="38"/>
      <c r="AD685" s="38"/>
      <c r="AE685" s="38"/>
      <c r="AF685" s="38"/>
      <c r="AG685" s="38"/>
      <c r="AH685" s="38"/>
      <c r="AI685" s="38"/>
      <c r="AJ685" s="38"/>
      <c r="AK685" s="38"/>
    </row>
    <row r="686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  <c r="AB686" s="38"/>
      <c r="AC686" s="38"/>
      <c r="AD686" s="38"/>
      <c r="AE686" s="38"/>
      <c r="AF686" s="38"/>
      <c r="AG686" s="38"/>
      <c r="AH686" s="38"/>
      <c r="AI686" s="38"/>
      <c r="AJ686" s="38"/>
      <c r="AK686" s="38"/>
    </row>
    <row r="687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  <c r="AB687" s="38"/>
      <c r="AC687" s="38"/>
      <c r="AD687" s="38"/>
      <c r="AE687" s="38"/>
      <c r="AF687" s="38"/>
      <c r="AG687" s="38"/>
      <c r="AH687" s="38"/>
      <c r="AI687" s="38"/>
      <c r="AJ687" s="38"/>
      <c r="AK687" s="38"/>
    </row>
    <row r="688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  <c r="AB688" s="38"/>
      <c r="AC688" s="38"/>
      <c r="AD688" s="38"/>
      <c r="AE688" s="38"/>
      <c r="AF688" s="38"/>
      <c r="AG688" s="38"/>
      <c r="AH688" s="38"/>
      <c r="AI688" s="38"/>
      <c r="AJ688" s="38"/>
      <c r="AK688" s="38"/>
    </row>
    <row r="689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  <c r="AB689" s="38"/>
      <c r="AC689" s="38"/>
      <c r="AD689" s="38"/>
      <c r="AE689" s="38"/>
      <c r="AF689" s="38"/>
      <c r="AG689" s="38"/>
      <c r="AH689" s="38"/>
      <c r="AI689" s="38"/>
      <c r="AJ689" s="38"/>
      <c r="AK689" s="38"/>
    </row>
    <row r="690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  <c r="AB690" s="38"/>
      <c r="AC690" s="38"/>
      <c r="AD690" s="38"/>
      <c r="AE690" s="38"/>
      <c r="AF690" s="38"/>
      <c r="AG690" s="38"/>
      <c r="AH690" s="38"/>
      <c r="AI690" s="38"/>
      <c r="AJ690" s="38"/>
      <c r="AK690" s="38"/>
    </row>
    <row r="69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  <c r="AB691" s="38"/>
      <c r="AC691" s="38"/>
      <c r="AD691" s="38"/>
      <c r="AE691" s="38"/>
      <c r="AF691" s="38"/>
      <c r="AG691" s="38"/>
      <c r="AH691" s="38"/>
      <c r="AI691" s="38"/>
      <c r="AJ691" s="38"/>
      <c r="AK691" s="38"/>
    </row>
    <row r="69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  <c r="AB692" s="38"/>
      <c r="AC692" s="38"/>
      <c r="AD692" s="38"/>
      <c r="AE692" s="38"/>
      <c r="AF692" s="38"/>
      <c r="AG692" s="38"/>
      <c r="AH692" s="38"/>
      <c r="AI692" s="38"/>
      <c r="AJ692" s="38"/>
      <c r="AK692" s="38"/>
    </row>
    <row r="693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  <c r="AB693" s="38"/>
      <c r="AC693" s="38"/>
      <c r="AD693" s="38"/>
      <c r="AE693" s="38"/>
      <c r="AF693" s="38"/>
      <c r="AG693" s="38"/>
      <c r="AH693" s="38"/>
      <c r="AI693" s="38"/>
      <c r="AJ693" s="38"/>
      <c r="AK693" s="38"/>
    </row>
    <row r="694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  <c r="AB694" s="38"/>
      <c r="AC694" s="38"/>
      <c r="AD694" s="38"/>
      <c r="AE694" s="38"/>
      <c r="AF694" s="38"/>
      <c r="AG694" s="38"/>
      <c r="AH694" s="38"/>
      <c r="AI694" s="38"/>
      <c r="AJ694" s="38"/>
      <c r="AK694" s="38"/>
    </row>
    <row r="695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  <c r="AB695" s="38"/>
      <c r="AC695" s="38"/>
      <c r="AD695" s="38"/>
      <c r="AE695" s="38"/>
      <c r="AF695" s="38"/>
      <c r="AG695" s="38"/>
      <c r="AH695" s="38"/>
      <c r="AI695" s="38"/>
      <c r="AJ695" s="38"/>
      <c r="AK695" s="38"/>
    </row>
    <row r="696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  <c r="AB696" s="38"/>
      <c r="AC696" s="38"/>
      <c r="AD696" s="38"/>
      <c r="AE696" s="38"/>
      <c r="AF696" s="38"/>
      <c r="AG696" s="38"/>
      <c r="AH696" s="38"/>
      <c r="AI696" s="38"/>
      <c r="AJ696" s="38"/>
      <c r="AK696" s="38"/>
    </row>
    <row r="697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  <c r="AB697" s="38"/>
      <c r="AC697" s="38"/>
      <c r="AD697" s="38"/>
      <c r="AE697" s="38"/>
      <c r="AF697" s="38"/>
      <c r="AG697" s="38"/>
      <c r="AH697" s="38"/>
      <c r="AI697" s="38"/>
      <c r="AJ697" s="38"/>
      <c r="AK697" s="38"/>
    </row>
    <row r="698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  <c r="AB698" s="38"/>
      <c r="AC698" s="38"/>
      <c r="AD698" s="38"/>
      <c r="AE698" s="38"/>
      <c r="AF698" s="38"/>
      <c r="AG698" s="38"/>
      <c r="AH698" s="38"/>
      <c r="AI698" s="38"/>
      <c r="AJ698" s="38"/>
      <c r="AK698" s="38"/>
    </row>
    <row r="699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  <c r="AB699" s="38"/>
      <c r="AC699" s="38"/>
      <c r="AD699" s="38"/>
      <c r="AE699" s="38"/>
      <c r="AF699" s="38"/>
      <c r="AG699" s="38"/>
      <c r="AH699" s="38"/>
      <c r="AI699" s="38"/>
      <c r="AJ699" s="38"/>
      <c r="AK699" s="38"/>
    </row>
    <row r="700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  <c r="AB700" s="38"/>
      <c r="AC700" s="38"/>
      <c r="AD700" s="38"/>
      <c r="AE700" s="38"/>
      <c r="AF700" s="38"/>
      <c r="AG700" s="38"/>
      <c r="AH700" s="38"/>
      <c r="AI700" s="38"/>
      <c r="AJ700" s="38"/>
      <c r="AK700" s="38"/>
    </row>
    <row r="70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  <c r="AB701" s="38"/>
      <c r="AC701" s="38"/>
      <c r="AD701" s="38"/>
      <c r="AE701" s="38"/>
      <c r="AF701" s="38"/>
      <c r="AG701" s="38"/>
      <c r="AH701" s="38"/>
      <c r="AI701" s="38"/>
      <c r="AJ701" s="38"/>
      <c r="AK701" s="38"/>
    </row>
    <row r="70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  <c r="AB702" s="38"/>
      <c r="AC702" s="38"/>
      <c r="AD702" s="38"/>
      <c r="AE702" s="38"/>
      <c r="AF702" s="38"/>
      <c r="AG702" s="38"/>
      <c r="AH702" s="38"/>
      <c r="AI702" s="38"/>
      <c r="AJ702" s="38"/>
      <c r="AK702" s="38"/>
    </row>
    <row r="703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  <c r="AB703" s="38"/>
      <c r="AC703" s="38"/>
      <c r="AD703" s="38"/>
      <c r="AE703" s="38"/>
      <c r="AF703" s="38"/>
      <c r="AG703" s="38"/>
      <c r="AH703" s="38"/>
      <c r="AI703" s="38"/>
      <c r="AJ703" s="38"/>
      <c r="AK703" s="38"/>
    </row>
    <row r="704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  <c r="AB704" s="38"/>
      <c r="AC704" s="38"/>
      <c r="AD704" s="38"/>
      <c r="AE704" s="38"/>
      <c r="AF704" s="38"/>
      <c r="AG704" s="38"/>
      <c r="AH704" s="38"/>
      <c r="AI704" s="38"/>
      <c r="AJ704" s="38"/>
      <c r="AK704" s="38"/>
    </row>
    <row r="705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  <c r="AB705" s="38"/>
      <c r="AC705" s="38"/>
      <c r="AD705" s="38"/>
      <c r="AE705" s="38"/>
      <c r="AF705" s="38"/>
      <c r="AG705" s="38"/>
      <c r="AH705" s="38"/>
      <c r="AI705" s="38"/>
      <c r="AJ705" s="38"/>
      <c r="AK705" s="38"/>
    </row>
    <row r="706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  <c r="AB706" s="38"/>
      <c r="AC706" s="38"/>
      <c r="AD706" s="38"/>
      <c r="AE706" s="38"/>
      <c r="AF706" s="38"/>
      <c r="AG706" s="38"/>
      <c r="AH706" s="38"/>
      <c r="AI706" s="38"/>
      <c r="AJ706" s="38"/>
      <c r="AK706" s="38"/>
    </row>
    <row r="707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  <c r="AB707" s="38"/>
      <c r="AC707" s="38"/>
      <c r="AD707" s="38"/>
      <c r="AE707" s="38"/>
      <c r="AF707" s="38"/>
      <c r="AG707" s="38"/>
      <c r="AH707" s="38"/>
      <c r="AI707" s="38"/>
      <c r="AJ707" s="38"/>
      <c r="AK707" s="38"/>
    </row>
    <row r="708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  <c r="AB708" s="38"/>
      <c r="AC708" s="38"/>
      <c r="AD708" s="38"/>
      <c r="AE708" s="38"/>
      <c r="AF708" s="38"/>
      <c r="AG708" s="38"/>
      <c r="AH708" s="38"/>
      <c r="AI708" s="38"/>
      <c r="AJ708" s="38"/>
      <c r="AK708" s="38"/>
    </row>
    <row r="709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  <c r="AB709" s="38"/>
      <c r="AC709" s="38"/>
      <c r="AD709" s="38"/>
      <c r="AE709" s="38"/>
      <c r="AF709" s="38"/>
      <c r="AG709" s="38"/>
      <c r="AH709" s="38"/>
      <c r="AI709" s="38"/>
      <c r="AJ709" s="38"/>
      <c r="AK709" s="38"/>
    </row>
    <row r="710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  <c r="AB710" s="38"/>
      <c r="AC710" s="38"/>
      <c r="AD710" s="38"/>
      <c r="AE710" s="38"/>
      <c r="AF710" s="38"/>
      <c r="AG710" s="38"/>
      <c r="AH710" s="38"/>
      <c r="AI710" s="38"/>
      <c r="AJ710" s="38"/>
      <c r="AK710" s="38"/>
    </row>
    <row r="71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  <c r="AB711" s="38"/>
      <c r="AC711" s="38"/>
      <c r="AD711" s="38"/>
      <c r="AE711" s="38"/>
      <c r="AF711" s="38"/>
      <c r="AG711" s="38"/>
      <c r="AH711" s="38"/>
      <c r="AI711" s="38"/>
      <c r="AJ711" s="38"/>
      <c r="AK711" s="38"/>
    </row>
    <row r="71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  <c r="AB712" s="38"/>
      <c r="AC712" s="38"/>
      <c r="AD712" s="38"/>
      <c r="AE712" s="38"/>
      <c r="AF712" s="38"/>
      <c r="AG712" s="38"/>
      <c r="AH712" s="38"/>
      <c r="AI712" s="38"/>
      <c r="AJ712" s="38"/>
      <c r="AK712" s="38"/>
    </row>
    <row r="713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  <c r="AB713" s="38"/>
      <c r="AC713" s="38"/>
      <c r="AD713" s="38"/>
      <c r="AE713" s="38"/>
      <c r="AF713" s="38"/>
      <c r="AG713" s="38"/>
      <c r="AH713" s="38"/>
      <c r="AI713" s="38"/>
      <c r="AJ713" s="38"/>
      <c r="AK713" s="38"/>
    </row>
    <row r="714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  <c r="AB714" s="38"/>
      <c r="AC714" s="38"/>
      <c r="AD714" s="38"/>
      <c r="AE714" s="38"/>
      <c r="AF714" s="38"/>
      <c r="AG714" s="38"/>
      <c r="AH714" s="38"/>
      <c r="AI714" s="38"/>
      <c r="AJ714" s="38"/>
      <c r="AK714" s="38"/>
    </row>
    <row r="715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  <c r="AB715" s="38"/>
      <c r="AC715" s="38"/>
      <c r="AD715" s="38"/>
      <c r="AE715" s="38"/>
      <c r="AF715" s="38"/>
      <c r="AG715" s="38"/>
      <c r="AH715" s="38"/>
      <c r="AI715" s="38"/>
      <c r="AJ715" s="38"/>
      <c r="AK715" s="38"/>
    </row>
    <row r="716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  <c r="AB716" s="38"/>
      <c r="AC716" s="38"/>
      <c r="AD716" s="38"/>
      <c r="AE716" s="38"/>
      <c r="AF716" s="38"/>
      <c r="AG716" s="38"/>
      <c r="AH716" s="38"/>
      <c r="AI716" s="38"/>
      <c r="AJ716" s="38"/>
      <c r="AK716" s="38"/>
    </row>
    <row r="717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  <c r="AB717" s="38"/>
      <c r="AC717" s="38"/>
      <c r="AD717" s="38"/>
      <c r="AE717" s="38"/>
      <c r="AF717" s="38"/>
      <c r="AG717" s="38"/>
      <c r="AH717" s="38"/>
      <c r="AI717" s="38"/>
      <c r="AJ717" s="38"/>
      <c r="AK717" s="38"/>
    </row>
    <row r="718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  <c r="AB718" s="38"/>
      <c r="AC718" s="38"/>
      <c r="AD718" s="38"/>
      <c r="AE718" s="38"/>
      <c r="AF718" s="38"/>
      <c r="AG718" s="38"/>
      <c r="AH718" s="38"/>
      <c r="AI718" s="38"/>
      <c r="AJ718" s="38"/>
      <c r="AK718" s="38"/>
    </row>
    <row r="719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  <c r="AB719" s="38"/>
      <c r="AC719" s="38"/>
      <c r="AD719" s="38"/>
      <c r="AE719" s="38"/>
      <c r="AF719" s="38"/>
      <c r="AG719" s="38"/>
      <c r="AH719" s="38"/>
      <c r="AI719" s="38"/>
      <c r="AJ719" s="38"/>
      <c r="AK719" s="38"/>
    </row>
    <row r="720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  <c r="AB720" s="38"/>
      <c r="AC720" s="38"/>
      <c r="AD720" s="38"/>
      <c r="AE720" s="38"/>
      <c r="AF720" s="38"/>
      <c r="AG720" s="38"/>
      <c r="AH720" s="38"/>
      <c r="AI720" s="38"/>
      <c r="AJ720" s="38"/>
      <c r="AK720" s="38"/>
    </row>
    <row r="72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  <c r="AB721" s="38"/>
      <c r="AC721" s="38"/>
      <c r="AD721" s="38"/>
      <c r="AE721" s="38"/>
      <c r="AF721" s="38"/>
      <c r="AG721" s="38"/>
      <c r="AH721" s="38"/>
      <c r="AI721" s="38"/>
      <c r="AJ721" s="38"/>
      <c r="AK721" s="38"/>
    </row>
    <row r="72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  <c r="AB722" s="38"/>
      <c r="AC722" s="38"/>
      <c r="AD722" s="38"/>
      <c r="AE722" s="38"/>
      <c r="AF722" s="38"/>
      <c r="AG722" s="38"/>
      <c r="AH722" s="38"/>
      <c r="AI722" s="38"/>
      <c r="AJ722" s="38"/>
      <c r="AK722" s="38"/>
    </row>
    <row r="723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  <c r="AB723" s="38"/>
      <c r="AC723" s="38"/>
      <c r="AD723" s="38"/>
      <c r="AE723" s="38"/>
      <c r="AF723" s="38"/>
      <c r="AG723" s="38"/>
      <c r="AH723" s="38"/>
      <c r="AI723" s="38"/>
      <c r="AJ723" s="38"/>
      <c r="AK723" s="38"/>
    </row>
    <row r="724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  <c r="AB724" s="38"/>
      <c r="AC724" s="38"/>
      <c r="AD724" s="38"/>
      <c r="AE724" s="38"/>
      <c r="AF724" s="38"/>
      <c r="AG724" s="38"/>
      <c r="AH724" s="38"/>
      <c r="AI724" s="38"/>
      <c r="AJ724" s="38"/>
      <c r="AK724" s="38"/>
    </row>
    <row r="725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  <c r="AB725" s="38"/>
      <c r="AC725" s="38"/>
      <c r="AD725" s="38"/>
      <c r="AE725" s="38"/>
      <c r="AF725" s="38"/>
      <c r="AG725" s="38"/>
      <c r="AH725" s="38"/>
      <c r="AI725" s="38"/>
      <c r="AJ725" s="38"/>
      <c r="AK725" s="38"/>
    </row>
    <row r="726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  <c r="AB726" s="38"/>
      <c r="AC726" s="38"/>
      <c r="AD726" s="38"/>
      <c r="AE726" s="38"/>
      <c r="AF726" s="38"/>
      <c r="AG726" s="38"/>
      <c r="AH726" s="38"/>
      <c r="AI726" s="38"/>
      <c r="AJ726" s="38"/>
      <c r="AK726" s="38"/>
    </row>
    <row r="727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  <c r="AB727" s="38"/>
      <c r="AC727" s="38"/>
      <c r="AD727" s="38"/>
      <c r="AE727" s="38"/>
      <c r="AF727" s="38"/>
      <c r="AG727" s="38"/>
      <c r="AH727" s="38"/>
      <c r="AI727" s="38"/>
      <c r="AJ727" s="38"/>
      <c r="AK727" s="38"/>
    </row>
    <row r="728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  <c r="AB728" s="38"/>
      <c r="AC728" s="38"/>
      <c r="AD728" s="38"/>
      <c r="AE728" s="38"/>
      <c r="AF728" s="38"/>
      <c r="AG728" s="38"/>
      <c r="AH728" s="38"/>
      <c r="AI728" s="38"/>
      <c r="AJ728" s="38"/>
      <c r="AK728" s="38"/>
    </row>
    <row r="729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  <c r="AB729" s="38"/>
      <c r="AC729" s="38"/>
      <c r="AD729" s="38"/>
      <c r="AE729" s="38"/>
      <c r="AF729" s="38"/>
      <c r="AG729" s="38"/>
      <c r="AH729" s="38"/>
      <c r="AI729" s="38"/>
      <c r="AJ729" s="38"/>
      <c r="AK729" s="38"/>
    </row>
    <row r="730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  <c r="AB730" s="38"/>
      <c r="AC730" s="38"/>
      <c r="AD730" s="38"/>
      <c r="AE730" s="38"/>
      <c r="AF730" s="38"/>
      <c r="AG730" s="38"/>
      <c r="AH730" s="38"/>
      <c r="AI730" s="38"/>
      <c r="AJ730" s="38"/>
      <c r="AK730" s="38"/>
    </row>
    <row r="73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  <c r="AB731" s="38"/>
      <c r="AC731" s="38"/>
      <c r="AD731" s="38"/>
      <c r="AE731" s="38"/>
      <c r="AF731" s="38"/>
      <c r="AG731" s="38"/>
      <c r="AH731" s="38"/>
      <c r="AI731" s="38"/>
      <c r="AJ731" s="38"/>
      <c r="AK731" s="38"/>
    </row>
    <row r="73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  <c r="AB732" s="38"/>
      <c r="AC732" s="38"/>
      <c r="AD732" s="38"/>
      <c r="AE732" s="38"/>
      <c r="AF732" s="38"/>
      <c r="AG732" s="38"/>
      <c r="AH732" s="38"/>
      <c r="AI732" s="38"/>
      <c r="AJ732" s="38"/>
      <c r="AK732" s="38"/>
    </row>
    <row r="733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  <c r="AB733" s="38"/>
      <c r="AC733" s="38"/>
      <c r="AD733" s="38"/>
      <c r="AE733" s="38"/>
      <c r="AF733" s="38"/>
      <c r="AG733" s="38"/>
      <c r="AH733" s="38"/>
      <c r="AI733" s="38"/>
      <c r="AJ733" s="38"/>
      <c r="AK733" s="38"/>
    </row>
    <row r="734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  <c r="AB734" s="38"/>
      <c r="AC734" s="38"/>
      <c r="AD734" s="38"/>
      <c r="AE734" s="38"/>
      <c r="AF734" s="38"/>
      <c r="AG734" s="38"/>
      <c r="AH734" s="38"/>
      <c r="AI734" s="38"/>
      <c r="AJ734" s="38"/>
      <c r="AK734" s="38"/>
    </row>
    <row r="735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  <c r="AB735" s="38"/>
      <c r="AC735" s="38"/>
      <c r="AD735" s="38"/>
      <c r="AE735" s="38"/>
      <c r="AF735" s="38"/>
      <c r="AG735" s="38"/>
      <c r="AH735" s="38"/>
      <c r="AI735" s="38"/>
      <c r="AJ735" s="38"/>
      <c r="AK735" s="38"/>
    </row>
    <row r="736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  <c r="AB736" s="38"/>
      <c r="AC736" s="38"/>
      <c r="AD736" s="38"/>
      <c r="AE736" s="38"/>
      <c r="AF736" s="38"/>
      <c r="AG736" s="38"/>
      <c r="AH736" s="38"/>
      <c r="AI736" s="38"/>
      <c r="AJ736" s="38"/>
      <c r="AK736" s="38"/>
    </row>
    <row r="737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  <c r="AB737" s="38"/>
      <c r="AC737" s="38"/>
      <c r="AD737" s="38"/>
      <c r="AE737" s="38"/>
      <c r="AF737" s="38"/>
      <c r="AG737" s="38"/>
      <c r="AH737" s="38"/>
      <c r="AI737" s="38"/>
      <c r="AJ737" s="38"/>
      <c r="AK737" s="38"/>
    </row>
    <row r="738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  <c r="AB738" s="38"/>
      <c r="AC738" s="38"/>
      <c r="AD738" s="38"/>
      <c r="AE738" s="38"/>
      <c r="AF738" s="38"/>
      <c r="AG738" s="38"/>
      <c r="AH738" s="38"/>
      <c r="AI738" s="38"/>
      <c r="AJ738" s="38"/>
      <c r="AK738" s="38"/>
    </row>
    <row r="739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  <c r="AB739" s="38"/>
      <c r="AC739" s="38"/>
      <c r="AD739" s="38"/>
      <c r="AE739" s="38"/>
      <c r="AF739" s="38"/>
      <c r="AG739" s="38"/>
      <c r="AH739" s="38"/>
      <c r="AI739" s="38"/>
      <c r="AJ739" s="38"/>
      <c r="AK739" s="38"/>
    </row>
    <row r="740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  <c r="AB740" s="38"/>
      <c r="AC740" s="38"/>
      <c r="AD740" s="38"/>
      <c r="AE740" s="38"/>
      <c r="AF740" s="38"/>
      <c r="AG740" s="38"/>
      <c r="AH740" s="38"/>
      <c r="AI740" s="38"/>
      <c r="AJ740" s="38"/>
      <c r="AK740" s="38"/>
    </row>
    <row r="74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  <c r="AB741" s="38"/>
      <c r="AC741" s="38"/>
      <c r="AD741" s="38"/>
      <c r="AE741" s="38"/>
      <c r="AF741" s="38"/>
      <c r="AG741" s="38"/>
      <c r="AH741" s="38"/>
      <c r="AI741" s="38"/>
      <c r="AJ741" s="38"/>
      <c r="AK741" s="38"/>
    </row>
    <row r="74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  <c r="AB742" s="38"/>
      <c r="AC742" s="38"/>
      <c r="AD742" s="38"/>
      <c r="AE742" s="38"/>
      <c r="AF742" s="38"/>
      <c r="AG742" s="38"/>
      <c r="AH742" s="38"/>
      <c r="AI742" s="38"/>
      <c r="AJ742" s="38"/>
      <c r="AK742" s="38"/>
    </row>
    <row r="743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  <c r="AB743" s="38"/>
      <c r="AC743" s="38"/>
      <c r="AD743" s="38"/>
      <c r="AE743" s="38"/>
      <c r="AF743" s="38"/>
      <c r="AG743" s="38"/>
      <c r="AH743" s="38"/>
      <c r="AI743" s="38"/>
      <c r="AJ743" s="38"/>
      <c r="AK743" s="38"/>
    </row>
    <row r="744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  <c r="AB744" s="38"/>
      <c r="AC744" s="38"/>
      <c r="AD744" s="38"/>
      <c r="AE744" s="38"/>
      <c r="AF744" s="38"/>
      <c r="AG744" s="38"/>
      <c r="AH744" s="38"/>
      <c r="AI744" s="38"/>
      <c r="AJ744" s="38"/>
      <c r="AK744" s="38"/>
    </row>
    <row r="745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  <c r="AB745" s="38"/>
      <c r="AC745" s="38"/>
      <c r="AD745" s="38"/>
      <c r="AE745" s="38"/>
      <c r="AF745" s="38"/>
      <c r="AG745" s="38"/>
      <c r="AH745" s="38"/>
      <c r="AI745" s="38"/>
      <c r="AJ745" s="38"/>
      <c r="AK745" s="38"/>
    </row>
    <row r="746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  <c r="AB746" s="38"/>
      <c r="AC746" s="38"/>
      <c r="AD746" s="38"/>
      <c r="AE746" s="38"/>
      <c r="AF746" s="38"/>
      <c r="AG746" s="38"/>
      <c r="AH746" s="38"/>
      <c r="AI746" s="38"/>
      <c r="AJ746" s="38"/>
      <c r="AK746" s="38"/>
    </row>
    <row r="747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  <c r="AB747" s="38"/>
      <c r="AC747" s="38"/>
      <c r="AD747" s="38"/>
      <c r="AE747" s="38"/>
      <c r="AF747" s="38"/>
      <c r="AG747" s="38"/>
      <c r="AH747" s="38"/>
      <c r="AI747" s="38"/>
      <c r="AJ747" s="38"/>
      <c r="AK747" s="38"/>
    </row>
    <row r="748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  <c r="AB748" s="38"/>
      <c r="AC748" s="38"/>
      <c r="AD748" s="38"/>
      <c r="AE748" s="38"/>
      <c r="AF748" s="38"/>
      <c r="AG748" s="38"/>
      <c r="AH748" s="38"/>
      <c r="AI748" s="38"/>
      <c r="AJ748" s="38"/>
      <c r="AK748" s="38"/>
    </row>
    <row r="749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  <c r="AB749" s="38"/>
      <c r="AC749" s="38"/>
      <c r="AD749" s="38"/>
      <c r="AE749" s="38"/>
      <c r="AF749" s="38"/>
      <c r="AG749" s="38"/>
      <c r="AH749" s="38"/>
      <c r="AI749" s="38"/>
      <c r="AJ749" s="38"/>
      <c r="AK749" s="38"/>
    </row>
    <row r="750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  <c r="AB750" s="38"/>
      <c r="AC750" s="38"/>
      <c r="AD750" s="38"/>
      <c r="AE750" s="38"/>
      <c r="AF750" s="38"/>
      <c r="AG750" s="38"/>
      <c r="AH750" s="38"/>
      <c r="AI750" s="38"/>
      <c r="AJ750" s="38"/>
      <c r="AK750" s="38"/>
    </row>
    <row r="75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  <c r="AB751" s="38"/>
      <c r="AC751" s="38"/>
      <c r="AD751" s="38"/>
      <c r="AE751" s="38"/>
      <c r="AF751" s="38"/>
      <c r="AG751" s="38"/>
      <c r="AH751" s="38"/>
      <c r="AI751" s="38"/>
      <c r="AJ751" s="38"/>
      <c r="AK751" s="38"/>
    </row>
    <row r="75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  <c r="AB752" s="38"/>
      <c r="AC752" s="38"/>
      <c r="AD752" s="38"/>
      <c r="AE752" s="38"/>
      <c r="AF752" s="38"/>
      <c r="AG752" s="38"/>
      <c r="AH752" s="38"/>
      <c r="AI752" s="38"/>
      <c r="AJ752" s="38"/>
      <c r="AK752" s="38"/>
    </row>
    <row r="753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  <c r="AB753" s="38"/>
      <c r="AC753" s="38"/>
      <c r="AD753" s="38"/>
      <c r="AE753" s="38"/>
      <c r="AF753" s="38"/>
      <c r="AG753" s="38"/>
      <c r="AH753" s="38"/>
      <c r="AI753" s="38"/>
      <c r="AJ753" s="38"/>
      <c r="AK753" s="38"/>
    </row>
    <row r="754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  <c r="AB754" s="38"/>
      <c r="AC754" s="38"/>
      <c r="AD754" s="38"/>
      <c r="AE754" s="38"/>
      <c r="AF754" s="38"/>
      <c r="AG754" s="38"/>
      <c r="AH754" s="38"/>
      <c r="AI754" s="38"/>
      <c r="AJ754" s="38"/>
      <c r="AK754" s="38"/>
    </row>
    <row r="755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  <c r="AB755" s="38"/>
      <c r="AC755" s="38"/>
      <c r="AD755" s="38"/>
      <c r="AE755" s="38"/>
      <c r="AF755" s="38"/>
      <c r="AG755" s="38"/>
      <c r="AH755" s="38"/>
      <c r="AI755" s="38"/>
      <c r="AJ755" s="38"/>
      <c r="AK755" s="38"/>
    </row>
    <row r="756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  <c r="AB756" s="38"/>
      <c r="AC756" s="38"/>
      <c r="AD756" s="38"/>
      <c r="AE756" s="38"/>
      <c r="AF756" s="38"/>
      <c r="AG756" s="38"/>
      <c r="AH756" s="38"/>
      <c r="AI756" s="38"/>
      <c r="AJ756" s="38"/>
      <c r="AK756" s="38"/>
    </row>
    <row r="757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  <c r="AB757" s="38"/>
      <c r="AC757" s="38"/>
      <c r="AD757" s="38"/>
      <c r="AE757" s="38"/>
      <c r="AF757" s="38"/>
      <c r="AG757" s="38"/>
      <c r="AH757" s="38"/>
      <c r="AI757" s="38"/>
      <c r="AJ757" s="38"/>
      <c r="AK757" s="38"/>
    </row>
    <row r="758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  <c r="AB758" s="38"/>
      <c r="AC758" s="38"/>
      <c r="AD758" s="38"/>
      <c r="AE758" s="38"/>
      <c r="AF758" s="38"/>
      <c r="AG758" s="38"/>
      <c r="AH758" s="38"/>
      <c r="AI758" s="38"/>
      <c r="AJ758" s="38"/>
      <c r="AK758" s="38"/>
    </row>
    <row r="759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  <c r="AB759" s="38"/>
      <c r="AC759" s="38"/>
      <c r="AD759" s="38"/>
      <c r="AE759" s="38"/>
      <c r="AF759" s="38"/>
      <c r="AG759" s="38"/>
      <c r="AH759" s="38"/>
      <c r="AI759" s="38"/>
      <c r="AJ759" s="38"/>
      <c r="AK759" s="38"/>
    </row>
    <row r="760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  <c r="AB760" s="38"/>
      <c r="AC760" s="38"/>
      <c r="AD760" s="38"/>
      <c r="AE760" s="38"/>
      <c r="AF760" s="38"/>
      <c r="AG760" s="38"/>
      <c r="AH760" s="38"/>
      <c r="AI760" s="38"/>
      <c r="AJ760" s="38"/>
      <c r="AK760" s="38"/>
    </row>
    <row r="76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  <c r="AB761" s="38"/>
      <c r="AC761" s="38"/>
      <c r="AD761" s="38"/>
      <c r="AE761" s="38"/>
      <c r="AF761" s="38"/>
      <c r="AG761" s="38"/>
      <c r="AH761" s="38"/>
      <c r="AI761" s="38"/>
      <c r="AJ761" s="38"/>
      <c r="AK761" s="38"/>
    </row>
    <row r="76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  <c r="AB762" s="38"/>
      <c r="AC762" s="38"/>
      <c r="AD762" s="38"/>
      <c r="AE762" s="38"/>
      <c r="AF762" s="38"/>
      <c r="AG762" s="38"/>
      <c r="AH762" s="38"/>
      <c r="AI762" s="38"/>
      <c r="AJ762" s="38"/>
      <c r="AK762" s="38"/>
    </row>
    <row r="763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  <c r="AB763" s="38"/>
      <c r="AC763" s="38"/>
      <c r="AD763" s="38"/>
      <c r="AE763" s="38"/>
      <c r="AF763" s="38"/>
      <c r="AG763" s="38"/>
      <c r="AH763" s="38"/>
      <c r="AI763" s="38"/>
      <c r="AJ763" s="38"/>
      <c r="AK763" s="38"/>
    </row>
    <row r="764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  <c r="AB764" s="38"/>
      <c r="AC764" s="38"/>
      <c r="AD764" s="38"/>
      <c r="AE764" s="38"/>
      <c r="AF764" s="38"/>
      <c r="AG764" s="38"/>
      <c r="AH764" s="38"/>
      <c r="AI764" s="38"/>
      <c r="AJ764" s="38"/>
      <c r="AK764" s="38"/>
    </row>
    <row r="765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  <c r="AB765" s="38"/>
      <c r="AC765" s="38"/>
      <c r="AD765" s="38"/>
      <c r="AE765" s="38"/>
      <c r="AF765" s="38"/>
      <c r="AG765" s="38"/>
      <c r="AH765" s="38"/>
      <c r="AI765" s="38"/>
      <c r="AJ765" s="38"/>
      <c r="AK765" s="38"/>
    </row>
    <row r="766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  <c r="AB766" s="38"/>
      <c r="AC766" s="38"/>
      <c r="AD766" s="38"/>
      <c r="AE766" s="38"/>
      <c r="AF766" s="38"/>
      <c r="AG766" s="38"/>
      <c r="AH766" s="38"/>
      <c r="AI766" s="38"/>
      <c r="AJ766" s="38"/>
      <c r="AK766" s="38"/>
    </row>
    <row r="767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  <c r="AB767" s="38"/>
      <c r="AC767" s="38"/>
      <c r="AD767" s="38"/>
      <c r="AE767" s="38"/>
      <c r="AF767" s="38"/>
      <c r="AG767" s="38"/>
      <c r="AH767" s="38"/>
      <c r="AI767" s="38"/>
      <c r="AJ767" s="38"/>
      <c r="AK767" s="38"/>
    </row>
    <row r="768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  <c r="AB768" s="38"/>
      <c r="AC768" s="38"/>
      <c r="AD768" s="38"/>
      <c r="AE768" s="38"/>
      <c r="AF768" s="38"/>
      <c r="AG768" s="38"/>
      <c r="AH768" s="38"/>
      <c r="AI768" s="38"/>
      <c r="AJ768" s="38"/>
      <c r="AK768" s="38"/>
    </row>
    <row r="769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  <c r="AB769" s="38"/>
      <c r="AC769" s="38"/>
      <c r="AD769" s="38"/>
      <c r="AE769" s="38"/>
      <c r="AF769" s="38"/>
      <c r="AG769" s="38"/>
      <c r="AH769" s="38"/>
      <c r="AI769" s="38"/>
      <c r="AJ769" s="38"/>
      <c r="AK769" s="38"/>
    </row>
    <row r="770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  <c r="AB770" s="38"/>
      <c r="AC770" s="38"/>
      <c r="AD770" s="38"/>
      <c r="AE770" s="38"/>
      <c r="AF770" s="38"/>
      <c r="AG770" s="38"/>
      <c r="AH770" s="38"/>
      <c r="AI770" s="38"/>
      <c r="AJ770" s="38"/>
      <c r="AK770" s="38"/>
    </row>
    <row r="77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  <c r="AB771" s="38"/>
      <c r="AC771" s="38"/>
      <c r="AD771" s="38"/>
      <c r="AE771" s="38"/>
      <c r="AF771" s="38"/>
      <c r="AG771" s="38"/>
      <c r="AH771" s="38"/>
      <c r="AI771" s="38"/>
      <c r="AJ771" s="38"/>
      <c r="AK771" s="38"/>
    </row>
    <row r="77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  <c r="AB772" s="38"/>
      <c r="AC772" s="38"/>
      <c r="AD772" s="38"/>
      <c r="AE772" s="38"/>
      <c r="AF772" s="38"/>
      <c r="AG772" s="38"/>
      <c r="AH772" s="38"/>
      <c r="AI772" s="38"/>
      <c r="AJ772" s="38"/>
      <c r="AK772" s="38"/>
    </row>
    <row r="773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  <c r="AB773" s="38"/>
      <c r="AC773" s="38"/>
      <c r="AD773" s="38"/>
      <c r="AE773" s="38"/>
      <c r="AF773" s="38"/>
      <c r="AG773" s="38"/>
      <c r="AH773" s="38"/>
      <c r="AI773" s="38"/>
      <c r="AJ773" s="38"/>
      <c r="AK773" s="38"/>
    </row>
    <row r="774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  <c r="AB774" s="38"/>
      <c r="AC774" s="38"/>
      <c r="AD774" s="38"/>
      <c r="AE774" s="38"/>
      <c r="AF774" s="38"/>
      <c r="AG774" s="38"/>
      <c r="AH774" s="38"/>
      <c r="AI774" s="38"/>
      <c r="AJ774" s="38"/>
      <c r="AK774" s="38"/>
    </row>
    <row r="775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  <c r="AB775" s="38"/>
      <c r="AC775" s="38"/>
      <c r="AD775" s="38"/>
      <c r="AE775" s="38"/>
      <c r="AF775" s="38"/>
      <c r="AG775" s="38"/>
      <c r="AH775" s="38"/>
      <c r="AI775" s="38"/>
      <c r="AJ775" s="38"/>
      <c r="AK775" s="38"/>
    </row>
    <row r="776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  <c r="AB776" s="38"/>
      <c r="AC776" s="38"/>
      <c r="AD776" s="38"/>
      <c r="AE776" s="38"/>
      <c r="AF776" s="38"/>
      <c r="AG776" s="38"/>
      <c r="AH776" s="38"/>
      <c r="AI776" s="38"/>
      <c r="AJ776" s="38"/>
      <c r="AK776" s="38"/>
    </row>
    <row r="777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  <c r="AB777" s="38"/>
      <c r="AC777" s="38"/>
      <c r="AD777" s="38"/>
      <c r="AE777" s="38"/>
      <c r="AF777" s="38"/>
      <c r="AG777" s="38"/>
      <c r="AH777" s="38"/>
      <c r="AI777" s="38"/>
      <c r="AJ777" s="38"/>
      <c r="AK777" s="38"/>
    </row>
    <row r="778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  <c r="AB778" s="38"/>
      <c r="AC778" s="38"/>
      <c r="AD778" s="38"/>
      <c r="AE778" s="38"/>
      <c r="AF778" s="38"/>
      <c r="AG778" s="38"/>
      <c r="AH778" s="38"/>
      <c r="AI778" s="38"/>
      <c r="AJ778" s="38"/>
      <c r="AK778" s="38"/>
    </row>
    <row r="779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  <c r="AB779" s="38"/>
      <c r="AC779" s="38"/>
      <c r="AD779" s="38"/>
      <c r="AE779" s="38"/>
      <c r="AF779" s="38"/>
      <c r="AG779" s="38"/>
      <c r="AH779" s="38"/>
      <c r="AI779" s="38"/>
      <c r="AJ779" s="38"/>
      <c r="AK779" s="38"/>
    </row>
    <row r="780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  <c r="AB780" s="38"/>
      <c r="AC780" s="38"/>
      <c r="AD780" s="38"/>
      <c r="AE780" s="38"/>
      <c r="AF780" s="38"/>
      <c r="AG780" s="38"/>
      <c r="AH780" s="38"/>
      <c r="AI780" s="38"/>
      <c r="AJ780" s="38"/>
      <c r="AK780" s="38"/>
    </row>
    <row r="78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  <c r="AB781" s="38"/>
      <c r="AC781" s="38"/>
      <c r="AD781" s="38"/>
      <c r="AE781" s="38"/>
      <c r="AF781" s="38"/>
      <c r="AG781" s="38"/>
      <c r="AH781" s="38"/>
      <c r="AI781" s="38"/>
      <c r="AJ781" s="38"/>
      <c r="AK781" s="38"/>
    </row>
    <row r="78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  <c r="AB782" s="38"/>
      <c r="AC782" s="38"/>
      <c r="AD782" s="38"/>
      <c r="AE782" s="38"/>
      <c r="AF782" s="38"/>
      <c r="AG782" s="38"/>
      <c r="AH782" s="38"/>
      <c r="AI782" s="38"/>
      <c r="AJ782" s="38"/>
      <c r="AK782" s="38"/>
    </row>
    <row r="783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  <c r="AB783" s="38"/>
      <c r="AC783" s="38"/>
      <c r="AD783" s="38"/>
      <c r="AE783" s="38"/>
      <c r="AF783" s="38"/>
      <c r="AG783" s="38"/>
      <c r="AH783" s="38"/>
      <c r="AI783" s="38"/>
      <c r="AJ783" s="38"/>
      <c r="AK783" s="38"/>
    </row>
    <row r="784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  <c r="AB784" s="38"/>
      <c r="AC784" s="38"/>
      <c r="AD784" s="38"/>
      <c r="AE784" s="38"/>
      <c r="AF784" s="38"/>
      <c r="AG784" s="38"/>
      <c r="AH784" s="38"/>
      <c r="AI784" s="38"/>
      <c r="AJ784" s="38"/>
      <c r="AK784" s="38"/>
    </row>
    <row r="785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  <c r="AB785" s="38"/>
      <c r="AC785" s="38"/>
      <c r="AD785" s="38"/>
      <c r="AE785" s="38"/>
      <c r="AF785" s="38"/>
      <c r="AG785" s="38"/>
      <c r="AH785" s="38"/>
      <c r="AI785" s="38"/>
      <c r="AJ785" s="38"/>
      <c r="AK785" s="38"/>
    </row>
    <row r="786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  <c r="AB786" s="38"/>
      <c r="AC786" s="38"/>
      <c r="AD786" s="38"/>
      <c r="AE786" s="38"/>
      <c r="AF786" s="38"/>
      <c r="AG786" s="38"/>
      <c r="AH786" s="38"/>
      <c r="AI786" s="38"/>
      <c r="AJ786" s="38"/>
      <c r="AK786" s="38"/>
    </row>
    <row r="787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  <c r="AB787" s="38"/>
      <c r="AC787" s="38"/>
      <c r="AD787" s="38"/>
      <c r="AE787" s="38"/>
      <c r="AF787" s="38"/>
      <c r="AG787" s="38"/>
      <c r="AH787" s="38"/>
      <c r="AI787" s="38"/>
      <c r="AJ787" s="38"/>
      <c r="AK787" s="38"/>
    </row>
    <row r="788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  <c r="AB788" s="38"/>
      <c r="AC788" s="38"/>
      <c r="AD788" s="38"/>
      <c r="AE788" s="38"/>
      <c r="AF788" s="38"/>
      <c r="AG788" s="38"/>
      <c r="AH788" s="38"/>
      <c r="AI788" s="38"/>
      <c r="AJ788" s="38"/>
      <c r="AK788" s="38"/>
    </row>
    <row r="789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  <c r="AB789" s="38"/>
      <c r="AC789" s="38"/>
      <c r="AD789" s="38"/>
      <c r="AE789" s="38"/>
      <c r="AF789" s="38"/>
      <c r="AG789" s="38"/>
      <c r="AH789" s="38"/>
      <c r="AI789" s="38"/>
      <c r="AJ789" s="38"/>
      <c r="AK789" s="38"/>
    </row>
    <row r="790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  <c r="AB790" s="38"/>
      <c r="AC790" s="38"/>
      <c r="AD790" s="38"/>
      <c r="AE790" s="38"/>
      <c r="AF790" s="38"/>
      <c r="AG790" s="38"/>
      <c r="AH790" s="38"/>
      <c r="AI790" s="38"/>
      <c r="AJ790" s="38"/>
      <c r="AK790" s="38"/>
    </row>
    <row r="79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  <c r="AB791" s="38"/>
      <c r="AC791" s="38"/>
      <c r="AD791" s="38"/>
      <c r="AE791" s="38"/>
      <c r="AF791" s="38"/>
      <c r="AG791" s="38"/>
      <c r="AH791" s="38"/>
      <c r="AI791" s="38"/>
      <c r="AJ791" s="38"/>
      <c r="AK791" s="38"/>
    </row>
    <row r="79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  <c r="AB792" s="38"/>
      <c r="AC792" s="38"/>
      <c r="AD792" s="38"/>
      <c r="AE792" s="38"/>
      <c r="AF792" s="38"/>
      <c r="AG792" s="38"/>
      <c r="AH792" s="38"/>
      <c r="AI792" s="38"/>
      <c r="AJ792" s="38"/>
      <c r="AK792" s="38"/>
    </row>
    <row r="793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  <c r="AB793" s="38"/>
      <c r="AC793" s="38"/>
      <c r="AD793" s="38"/>
      <c r="AE793" s="38"/>
      <c r="AF793" s="38"/>
      <c r="AG793" s="38"/>
      <c r="AH793" s="38"/>
      <c r="AI793" s="38"/>
      <c r="AJ793" s="38"/>
      <c r="AK793" s="38"/>
    </row>
    <row r="794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  <c r="AB794" s="38"/>
      <c r="AC794" s="38"/>
      <c r="AD794" s="38"/>
      <c r="AE794" s="38"/>
      <c r="AF794" s="38"/>
      <c r="AG794" s="38"/>
      <c r="AH794" s="38"/>
      <c r="AI794" s="38"/>
      <c r="AJ794" s="38"/>
      <c r="AK794" s="38"/>
    </row>
    <row r="795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  <c r="AB795" s="38"/>
      <c r="AC795" s="38"/>
      <c r="AD795" s="38"/>
      <c r="AE795" s="38"/>
      <c r="AF795" s="38"/>
      <c r="AG795" s="38"/>
      <c r="AH795" s="38"/>
      <c r="AI795" s="38"/>
      <c r="AJ795" s="38"/>
      <c r="AK795" s="38"/>
    </row>
    <row r="796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  <c r="AB796" s="38"/>
      <c r="AC796" s="38"/>
      <c r="AD796" s="38"/>
      <c r="AE796" s="38"/>
      <c r="AF796" s="38"/>
      <c r="AG796" s="38"/>
      <c r="AH796" s="38"/>
      <c r="AI796" s="38"/>
      <c r="AJ796" s="38"/>
      <c r="AK796" s="38"/>
    </row>
    <row r="797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  <c r="AB797" s="38"/>
      <c r="AC797" s="38"/>
      <c r="AD797" s="38"/>
      <c r="AE797" s="38"/>
      <c r="AF797" s="38"/>
      <c r="AG797" s="38"/>
      <c r="AH797" s="38"/>
      <c r="AI797" s="38"/>
      <c r="AJ797" s="38"/>
      <c r="AK797" s="38"/>
    </row>
    <row r="798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  <c r="AB798" s="38"/>
      <c r="AC798" s="38"/>
      <c r="AD798" s="38"/>
      <c r="AE798" s="38"/>
      <c r="AF798" s="38"/>
      <c r="AG798" s="38"/>
      <c r="AH798" s="38"/>
      <c r="AI798" s="38"/>
      <c r="AJ798" s="38"/>
      <c r="AK798" s="38"/>
    </row>
    <row r="799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  <c r="AB799" s="38"/>
      <c r="AC799" s="38"/>
      <c r="AD799" s="38"/>
      <c r="AE799" s="38"/>
      <c r="AF799" s="38"/>
      <c r="AG799" s="38"/>
      <c r="AH799" s="38"/>
      <c r="AI799" s="38"/>
      <c r="AJ799" s="38"/>
      <c r="AK799" s="38"/>
    </row>
    <row r="800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  <c r="AB800" s="38"/>
      <c r="AC800" s="38"/>
      <c r="AD800" s="38"/>
      <c r="AE800" s="38"/>
      <c r="AF800" s="38"/>
      <c r="AG800" s="38"/>
      <c r="AH800" s="38"/>
      <c r="AI800" s="38"/>
      <c r="AJ800" s="38"/>
      <c r="AK800" s="38"/>
    </row>
    <row r="80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  <c r="AB801" s="38"/>
      <c r="AC801" s="38"/>
      <c r="AD801" s="38"/>
      <c r="AE801" s="38"/>
      <c r="AF801" s="38"/>
      <c r="AG801" s="38"/>
      <c r="AH801" s="38"/>
      <c r="AI801" s="38"/>
      <c r="AJ801" s="38"/>
      <c r="AK801" s="38"/>
    </row>
    <row r="80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  <c r="AB802" s="38"/>
      <c r="AC802" s="38"/>
      <c r="AD802" s="38"/>
      <c r="AE802" s="38"/>
      <c r="AF802" s="38"/>
      <c r="AG802" s="38"/>
      <c r="AH802" s="38"/>
      <c r="AI802" s="38"/>
      <c r="AJ802" s="38"/>
      <c r="AK802" s="38"/>
    </row>
    <row r="803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  <c r="AB803" s="38"/>
      <c r="AC803" s="38"/>
      <c r="AD803" s="38"/>
      <c r="AE803" s="38"/>
      <c r="AF803" s="38"/>
      <c r="AG803" s="38"/>
      <c r="AH803" s="38"/>
      <c r="AI803" s="38"/>
      <c r="AJ803" s="38"/>
      <c r="AK803" s="38"/>
    </row>
    <row r="804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  <c r="AB804" s="38"/>
      <c r="AC804" s="38"/>
      <c r="AD804" s="38"/>
      <c r="AE804" s="38"/>
      <c r="AF804" s="38"/>
      <c r="AG804" s="38"/>
      <c r="AH804" s="38"/>
      <c r="AI804" s="38"/>
      <c r="AJ804" s="38"/>
      <c r="AK804" s="38"/>
    </row>
    <row r="805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  <c r="AB805" s="38"/>
      <c r="AC805" s="38"/>
      <c r="AD805" s="38"/>
      <c r="AE805" s="38"/>
      <c r="AF805" s="38"/>
      <c r="AG805" s="38"/>
      <c r="AH805" s="38"/>
      <c r="AI805" s="38"/>
      <c r="AJ805" s="38"/>
      <c r="AK805" s="38"/>
    </row>
    <row r="806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  <c r="AB806" s="38"/>
      <c r="AC806" s="38"/>
      <c r="AD806" s="38"/>
      <c r="AE806" s="38"/>
      <c r="AF806" s="38"/>
      <c r="AG806" s="38"/>
      <c r="AH806" s="38"/>
      <c r="AI806" s="38"/>
      <c r="AJ806" s="38"/>
      <c r="AK806" s="38"/>
    </row>
    <row r="807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  <c r="AB807" s="38"/>
      <c r="AC807" s="38"/>
      <c r="AD807" s="38"/>
      <c r="AE807" s="38"/>
      <c r="AF807" s="38"/>
      <c r="AG807" s="38"/>
      <c r="AH807" s="38"/>
      <c r="AI807" s="38"/>
      <c r="AJ807" s="38"/>
      <c r="AK807" s="38"/>
    </row>
    <row r="808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  <c r="AB808" s="38"/>
      <c r="AC808" s="38"/>
      <c r="AD808" s="38"/>
      <c r="AE808" s="38"/>
      <c r="AF808" s="38"/>
      <c r="AG808" s="38"/>
      <c r="AH808" s="38"/>
      <c r="AI808" s="38"/>
      <c r="AJ808" s="38"/>
      <c r="AK808" s="38"/>
    </row>
    <row r="809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  <c r="AB809" s="38"/>
      <c r="AC809" s="38"/>
      <c r="AD809" s="38"/>
      <c r="AE809" s="38"/>
      <c r="AF809" s="38"/>
      <c r="AG809" s="38"/>
      <c r="AH809" s="38"/>
      <c r="AI809" s="38"/>
      <c r="AJ809" s="38"/>
      <c r="AK809" s="38"/>
    </row>
    <row r="810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  <c r="AB810" s="38"/>
      <c r="AC810" s="38"/>
      <c r="AD810" s="38"/>
      <c r="AE810" s="38"/>
      <c r="AF810" s="38"/>
      <c r="AG810" s="38"/>
      <c r="AH810" s="38"/>
      <c r="AI810" s="38"/>
      <c r="AJ810" s="38"/>
      <c r="AK810" s="38"/>
    </row>
    <row r="81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  <c r="AB811" s="38"/>
      <c r="AC811" s="38"/>
      <c r="AD811" s="38"/>
      <c r="AE811" s="38"/>
      <c r="AF811" s="38"/>
      <c r="AG811" s="38"/>
      <c r="AH811" s="38"/>
      <c r="AI811" s="38"/>
      <c r="AJ811" s="38"/>
      <c r="AK811" s="38"/>
    </row>
    <row r="81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  <c r="AB812" s="38"/>
      <c r="AC812" s="38"/>
      <c r="AD812" s="38"/>
      <c r="AE812" s="38"/>
      <c r="AF812" s="38"/>
      <c r="AG812" s="38"/>
      <c r="AH812" s="38"/>
      <c r="AI812" s="38"/>
      <c r="AJ812" s="38"/>
      <c r="AK812" s="38"/>
    </row>
    <row r="813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  <c r="AB813" s="38"/>
      <c r="AC813" s="38"/>
      <c r="AD813" s="38"/>
      <c r="AE813" s="38"/>
      <c r="AF813" s="38"/>
      <c r="AG813" s="38"/>
      <c r="AH813" s="38"/>
      <c r="AI813" s="38"/>
      <c r="AJ813" s="38"/>
      <c r="AK813" s="38"/>
    </row>
    <row r="814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  <c r="AB814" s="38"/>
      <c r="AC814" s="38"/>
      <c r="AD814" s="38"/>
      <c r="AE814" s="38"/>
      <c r="AF814" s="38"/>
      <c r="AG814" s="38"/>
      <c r="AH814" s="38"/>
      <c r="AI814" s="38"/>
      <c r="AJ814" s="38"/>
      <c r="AK814" s="38"/>
    </row>
    <row r="815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  <c r="AB815" s="38"/>
      <c r="AC815" s="38"/>
      <c r="AD815" s="38"/>
      <c r="AE815" s="38"/>
      <c r="AF815" s="38"/>
      <c r="AG815" s="38"/>
      <c r="AH815" s="38"/>
      <c r="AI815" s="38"/>
      <c r="AJ815" s="38"/>
      <c r="AK815" s="38"/>
    </row>
    <row r="816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  <c r="AB816" s="38"/>
      <c r="AC816" s="38"/>
      <c r="AD816" s="38"/>
      <c r="AE816" s="38"/>
      <c r="AF816" s="38"/>
      <c r="AG816" s="38"/>
      <c r="AH816" s="38"/>
      <c r="AI816" s="38"/>
      <c r="AJ816" s="38"/>
      <c r="AK816" s="38"/>
    </row>
    <row r="817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  <c r="AB817" s="38"/>
      <c r="AC817" s="38"/>
      <c r="AD817" s="38"/>
      <c r="AE817" s="38"/>
      <c r="AF817" s="38"/>
      <c r="AG817" s="38"/>
      <c r="AH817" s="38"/>
      <c r="AI817" s="38"/>
      <c r="AJ817" s="38"/>
      <c r="AK817" s="38"/>
    </row>
    <row r="818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  <c r="AB818" s="38"/>
      <c r="AC818" s="38"/>
      <c r="AD818" s="38"/>
      <c r="AE818" s="38"/>
      <c r="AF818" s="38"/>
      <c r="AG818" s="38"/>
      <c r="AH818" s="38"/>
      <c r="AI818" s="38"/>
      <c r="AJ818" s="38"/>
      <c r="AK818" s="38"/>
    </row>
    <row r="819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  <c r="AB819" s="38"/>
      <c r="AC819" s="38"/>
      <c r="AD819" s="38"/>
      <c r="AE819" s="38"/>
      <c r="AF819" s="38"/>
      <c r="AG819" s="38"/>
      <c r="AH819" s="38"/>
      <c r="AI819" s="38"/>
      <c r="AJ819" s="38"/>
      <c r="AK819" s="38"/>
    </row>
    <row r="820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  <c r="AB820" s="38"/>
      <c r="AC820" s="38"/>
      <c r="AD820" s="38"/>
      <c r="AE820" s="38"/>
      <c r="AF820" s="38"/>
      <c r="AG820" s="38"/>
      <c r="AH820" s="38"/>
      <c r="AI820" s="38"/>
      <c r="AJ820" s="38"/>
      <c r="AK820" s="38"/>
    </row>
    <row r="82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  <c r="AB821" s="38"/>
      <c r="AC821" s="38"/>
      <c r="AD821" s="38"/>
      <c r="AE821" s="38"/>
      <c r="AF821" s="38"/>
      <c r="AG821" s="38"/>
      <c r="AH821" s="38"/>
      <c r="AI821" s="38"/>
      <c r="AJ821" s="38"/>
      <c r="AK821" s="38"/>
    </row>
    <row r="82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  <c r="AB822" s="38"/>
      <c r="AC822" s="38"/>
      <c r="AD822" s="38"/>
      <c r="AE822" s="38"/>
      <c r="AF822" s="38"/>
      <c r="AG822" s="38"/>
      <c r="AH822" s="38"/>
      <c r="AI822" s="38"/>
      <c r="AJ822" s="38"/>
      <c r="AK822" s="38"/>
    </row>
    <row r="823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  <c r="AB823" s="38"/>
      <c r="AC823" s="38"/>
      <c r="AD823" s="38"/>
      <c r="AE823" s="38"/>
      <c r="AF823" s="38"/>
      <c r="AG823" s="38"/>
      <c r="AH823" s="38"/>
      <c r="AI823" s="38"/>
      <c r="AJ823" s="38"/>
      <c r="AK823" s="38"/>
    </row>
    <row r="824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  <c r="AB824" s="38"/>
      <c r="AC824" s="38"/>
      <c r="AD824" s="38"/>
      <c r="AE824" s="38"/>
      <c r="AF824" s="38"/>
      <c r="AG824" s="38"/>
      <c r="AH824" s="38"/>
      <c r="AI824" s="38"/>
      <c r="AJ824" s="38"/>
      <c r="AK824" s="38"/>
    </row>
    <row r="825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  <c r="AB825" s="38"/>
      <c r="AC825" s="38"/>
      <c r="AD825" s="38"/>
      <c r="AE825" s="38"/>
      <c r="AF825" s="38"/>
      <c r="AG825" s="38"/>
      <c r="AH825" s="38"/>
      <c r="AI825" s="38"/>
      <c r="AJ825" s="38"/>
      <c r="AK825" s="38"/>
    </row>
    <row r="826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  <c r="AB826" s="38"/>
      <c r="AC826" s="38"/>
      <c r="AD826" s="38"/>
      <c r="AE826" s="38"/>
      <c r="AF826" s="38"/>
      <c r="AG826" s="38"/>
      <c r="AH826" s="38"/>
      <c r="AI826" s="38"/>
      <c r="AJ826" s="38"/>
      <c r="AK826" s="38"/>
    </row>
    <row r="827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  <c r="AB827" s="38"/>
      <c r="AC827" s="38"/>
      <c r="AD827" s="38"/>
      <c r="AE827" s="38"/>
      <c r="AF827" s="38"/>
      <c r="AG827" s="38"/>
      <c r="AH827" s="38"/>
      <c r="AI827" s="38"/>
      <c r="AJ827" s="38"/>
      <c r="AK827" s="38"/>
    </row>
    <row r="828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  <c r="AB828" s="38"/>
      <c r="AC828" s="38"/>
      <c r="AD828" s="38"/>
      <c r="AE828" s="38"/>
      <c r="AF828" s="38"/>
      <c r="AG828" s="38"/>
      <c r="AH828" s="38"/>
      <c r="AI828" s="38"/>
      <c r="AJ828" s="38"/>
      <c r="AK828" s="38"/>
    </row>
    <row r="829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  <c r="AB829" s="38"/>
      <c r="AC829" s="38"/>
      <c r="AD829" s="38"/>
      <c r="AE829" s="38"/>
      <c r="AF829" s="38"/>
      <c r="AG829" s="38"/>
      <c r="AH829" s="38"/>
      <c r="AI829" s="38"/>
      <c r="AJ829" s="38"/>
      <c r="AK829" s="38"/>
    </row>
    <row r="830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  <c r="AB830" s="38"/>
      <c r="AC830" s="38"/>
      <c r="AD830" s="38"/>
      <c r="AE830" s="38"/>
      <c r="AF830" s="38"/>
      <c r="AG830" s="38"/>
      <c r="AH830" s="38"/>
      <c r="AI830" s="38"/>
      <c r="AJ830" s="38"/>
      <c r="AK830" s="38"/>
    </row>
    <row r="83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  <c r="AB831" s="38"/>
      <c r="AC831" s="38"/>
      <c r="AD831" s="38"/>
      <c r="AE831" s="38"/>
      <c r="AF831" s="38"/>
      <c r="AG831" s="38"/>
      <c r="AH831" s="38"/>
      <c r="AI831" s="38"/>
      <c r="AJ831" s="38"/>
      <c r="AK831" s="38"/>
    </row>
    <row r="83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  <c r="AB832" s="38"/>
      <c r="AC832" s="38"/>
      <c r="AD832" s="38"/>
      <c r="AE832" s="38"/>
      <c r="AF832" s="38"/>
      <c r="AG832" s="38"/>
      <c r="AH832" s="38"/>
      <c r="AI832" s="38"/>
      <c r="AJ832" s="38"/>
      <c r="AK832" s="38"/>
    </row>
    <row r="833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  <c r="AB833" s="38"/>
      <c r="AC833" s="38"/>
      <c r="AD833" s="38"/>
      <c r="AE833" s="38"/>
      <c r="AF833" s="38"/>
      <c r="AG833" s="38"/>
      <c r="AH833" s="38"/>
      <c r="AI833" s="38"/>
      <c r="AJ833" s="38"/>
      <c r="AK833" s="38"/>
    </row>
    <row r="834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  <c r="AB834" s="38"/>
      <c r="AC834" s="38"/>
      <c r="AD834" s="38"/>
      <c r="AE834" s="38"/>
      <c r="AF834" s="38"/>
      <c r="AG834" s="38"/>
      <c r="AH834" s="38"/>
      <c r="AI834" s="38"/>
      <c r="AJ834" s="38"/>
      <c r="AK834" s="38"/>
    </row>
    <row r="835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  <c r="AB835" s="38"/>
      <c r="AC835" s="38"/>
      <c r="AD835" s="38"/>
      <c r="AE835" s="38"/>
      <c r="AF835" s="38"/>
      <c r="AG835" s="38"/>
      <c r="AH835" s="38"/>
      <c r="AI835" s="38"/>
      <c r="AJ835" s="38"/>
      <c r="AK835" s="38"/>
    </row>
    <row r="836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  <c r="AB836" s="38"/>
      <c r="AC836" s="38"/>
      <c r="AD836" s="38"/>
      <c r="AE836" s="38"/>
      <c r="AF836" s="38"/>
      <c r="AG836" s="38"/>
      <c r="AH836" s="38"/>
      <c r="AI836" s="38"/>
      <c r="AJ836" s="38"/>
      <c r="AK836" s="38"/>
    </row>
    <row r="837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  <c r="AB837" s="38"/>
      <c r="AC837" s="38"/>
      <c r="AD837" s="38"/>
      <c r="AE837" s="38"/>
      <c r="AF837" s="38"/>
      <c r="AG837" s="38"/>
      <c r="AH837" s="38"/>
      <c r="AI837" s="38"/>
      <c r="AJ837" s="38"/>
      <c r="AK837" s="38"/>
    </row>
    <row r="838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  <c r="AB838" s="38"/>
      <c r="AC838" s="38"/>
      <c r="AD838" s="38"/>
      <c r="AE838" s="38"/>
      <c r="AF838" s="38"/>
      <c r="AG838" s="38"/>
      <c r="AH838" s="38"/>
      <c r="AI838" s="38"/>
      <c r="AJ838" s="38"/>
      <c r="AK838" s="38"/>
    </row>
    <row r="839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  <c r="AB839" s="38"/>
      <c r="AC839" s="38"/>
      <c r="AD839" s="38"/>
      <c r="AE839" s="38"/>
      <c r="AF839" s="38"/>
      <c r="AG839" s="38"/>
      <c r="AH839" s="38"/>
      <c r="AI839" s="38"/>
      <c r="AJ839" s="38"/>
      <c r="AK839" s="38"/>
    </row>
    <row r="840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  <c r="AB840" s="38"/>
      <c r="AC840" s="38"/>
      <c r="AD840" s="38"/>
      <c r="AE840" s="38"/>
      <c r="AF840" s="38"/>
      <c r="AG840" s="38"/>
      <c r="AH840" s="38"/>
      <c r="AI840" s="38"/>
      <c r="AJ840" s="38"/>
      <c r="AK840" s="38"/>
    </row>
    <row r="84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  <c r="AB841" s="38"/>
      <c r="AC841" s="38"/>
      <c r="AD841" s="38"/>
      <c r="AE841" s="38"/>
      <c r="AF841" s="38"/>
      <c r="AG841" s="38"/>
      <c r="AH841" s="38"/>
      <c r="AI841" s="38"/>
      <c r="AJ841" s="38"/>
      <c r="AK841" s="38"/>
    </row>
    <row r="84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  <c r="AB842" s="38"/>
      <c r="AC842" s="38"/>
      <c r="AD842" s="38"/>
      <c r="AE842" s="38"/>
      <c r="AF842" s="38"/>
      <c r="AG842" s="38"/>
      <c r="AH842" s="38"/>
      <c r="AI842" s="38"/>
      <c r="AJ842" s="38"/>
      <c r="AK842" s="38"/>
    </row>
    <row r="843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  <c r="AB843" s="38"/>
      <c r="AC843" s="38"/>
      <c r="AD843" s="38"/>
      <c r="AE843" s="38"/>
      <c r="AF843" s="38"/>
      <c r="AG843" s="38"/>
      <c r="AH843" s="38"/>
      <c r="AI843" s="38"/>
      <c r="AJ843" s="38"/>
      <c r="AK843" s="38"/>
    </row>
    <row r="844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  <c r="AB844" s="38"/>
      <c r="AC844" s="38"/>
      <c r="AD844" s="38"/>
      <c r="AE844" s="38"/>
      <c r="AF844" s="38"/>
      <c r="AG844" s="38"/>
      <c r="AH844" s="38"/>
      <c r="AI844" s="38"/>
      <c r="AJ844" s="38"/>
      <c r="AK844" s="38"/>
    </row>
    <row r="845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  <c r="AB845" s="38"/>
      <c r="AC845" s="38"/>
      <c r="AD845" s="38"/>
      <c r="AE845" s="38"/>
      <c r="AF845" s="38"/>
      <c r="AG845" s="38"/>
      <c r="AH845" s="38"/>
      <c r="AI845" s="38"/>
      <c r="AJ845" s="38"/>
      <c r="AK845" s="38"/>
    </row>
    <row r="846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  <c r="AB846" s="38"/>
      <c r="AC846" s="38"/>
      <c r="AD846" s="38"/>
      <c r="AE846" s="38"/>
      <c r="AF846" s="38"/>
      <c r="AG846" s="38"/>
      <c r="AH846" s="38"/>
      <c r="AI846" s="38"/>
      <c r="AJ846" s="38"/>
      <c r="AK846" s="38"/>
    </row>
    <row r="847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  <c r="AB847" s="38"/>
      <c r="AC847" s="38"/>
      <c r="AD847" s="38"/>
      <c r="AE847" s="38"/>
      <c r="AF847" s="38"/>
      <c r="AG847" s="38"/>
      <c r="AH847" s="38"/>
      <c r="AI847" s="38"/>
      <c r="AJ847" s="38"/>
      <c r="AK847" s="38"/>
    </row>
    <row r="848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  <c r="AB848" s="38"/>
      <c r="AC848" s="38"/>
      <c r="AD848" s="38"/>
      <c r="AE848" s="38"/>
      <c r="AF848" s="38"/>
      <c r="AG848" s="38"/>
      <c r="AH848" s="38"/>
      <c r="AI848" s="38"/>
      <c r="AJ848" s="38"/>
      <c r="AK848" s="38"/>
    </row>
    <row r="849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  <c r="AB849" s="38"/>
      <c r="AC849" s="38"/>
      <c r="AD849" s="38"/>
      <c r="AE849" s="38"/>
      <c r="AF849" s="38"/>
      <c r="AG849" s="38"/>
      <c r="AH849" s="38"/>
      <c r="AI849" s="38"/>
      <c r="AJ849" s="38"/>
      <c r="AK849" s="38"/>
    </row>
    <row r="850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  <c r="AB850" s="38"/>
      <c r="AC850" s="38"/>
      <c r="AD850" s="38"/>
      <c r="AE850" s="38"/>
      <c r="AF850" s="38"/>
      <c r="AG850" s="38"/>
      <c r="AH850" s="38"/>
      <c r="AI850" s="38"/>
      <c r="AJ850" s="38"/>
      <c r="AK850" s="38"/>
    </row>
    <row r="85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  <c r="AB851" s="38"/>
      <c r="AC851" s="38"/>
      <c r="AD851" s="38"/>
      <c r="AE851" s="38"/>
      <c r="AF851" s="38"/>
      <c r="AG851" s="38"/>
      <c r="AH851" s="38"/>
      <c r="AI851" s="38"/>
      <c r="AJ851" s="38"/>
      <c r="AK851" s="38"/>
    </row>
    <row r="85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  <c r="AB852" s="38"/>
      <c r="AC852" s="38"/>
      <c r="AD852" s="38"/>
      <c r="AE852" s="38"/>
      <c r="AF852" s="38"/>
      <c r="AG852" s="38"/>
      <c r="AH852" s="38"/>
      <c r="AI852" s="38"/>
      <c r="AJ852" s="38"/>
      <c r="AK852" s="38"/>
    </row>
    <row r="853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  <c r="AB853" s="38"/>
      <c r="AC853" s="38"/>
      <c r="AD853" s="38"/>
      <c r="AE853" s="38"/>
      <c r="AF853" s="38"/>
      <c r="AG853" s="38"/>
      <c r="AH853" s="38"/>
      <c r="AI853" s="38"/>
      <c r="AJ853" s="38"/>
      <c r="AK853" s="38"/>
    </row>
    <row r="854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  <c r="AB854" s="38"/>
      <c r="AC854" s="38"/>
      <c r="AD854" s="38"/>
      <c r="AE854" s="38"/>
      <c r="AF854" s="38"/>
      <c r="AG854" s="38"/>
      <c r="AH854" s="38"/>
      <c r="AI854" s="38"/>
      <c r="AJ854" s="38"/>
      <c r="AK854" s="38"/>
    </row>
    <row r="855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  <c r="AB855" s="38"/>
      <c r="AC855" s="38"/>
      <c r="AD855" s="38"/>
      <c r="AE855" s="38"/>
      <c r="AF855" s="38"/>
      <c r="AG855" s="38"/>
      <c r="AH855" s="38"/>
      <c r="AI855" s="38"/>
      <c r="AJ855" s="38"/>
      <c r="AK855" s="38"/>
    </row>
    <row r="856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  <c r="AB856" s="38"/>
      <c r="AC856" s="38"/>
      <c r="AD856" s="38"/>
      <c r="AE856" s="38"/>
      <c r="AF856" s="38"/>
      <c r="AG856" s="38"/>
      <c r="AH856" s="38"/>
      <c r="AI856" s="38"/>
      <c r="AJ856" s="38"/>
      <c r="AK856" s="38"/>
    </row>
    <row r="857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  <c r="AB857" s="38"/>
      <c r="AC857" s="38"/>
      <c r="AD857" s="38"/>
      <c r="AE857" s="38"/>
      <c r="AF857" s="38"/>
      <c r="AG857" s="38"/>
      <c r="AH857" s="38"/>
      <c r="AI857" s="38"/>
      <c r="AJ857" s="38"/>
      <c r="AK857" s="38"/>
    </row>
    <row r="858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  <c r="AB858" s="38"/>
      <c r="AC858" s="38"/>
      <c r="AD858" s="38"/>
      <c r="AE858" s="38"/>
      <c r="AF858" s="38"/>
      <c r="AG858" s="38"/>
      <c r="AH858" s="38"/>
      <c r="AI858" s="38"/>
      <c r="AJ858" s="38"/>
      <c r="AK858" s="38"/>
    </row>
    <row r="859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  <c r="AB859" s="38"/>
      <c r="AC859" s="38"/>
      <c r="AD859" s="38"/>
      <c r="AE859" s="38"/>
      <c r="AF859" s="38"/>
      <c r="AG859" s="38"/>
      <c r="AH859" s="38"/>
      <c r="AI859" s="38"/>
      <c r="AJ859" s="38"/>
      <c r="AK859" s="38"/>
    </row>
    <row r="860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  <c r="AB860" s="38"/>
      <c r="AC860" s="38"/>
      <c r="AD860" s="38"/>
      <c r="AE860" s="38"/>
      <c r="AF860" s="38"/>
      <c r="AG860" s="38"/>
      <c r="AH860" s="38"/>
      <c r="AI860" s="38"/>
      <c r="AJ860" s="38"/>
      <c r="AK860" s="38"/>
    </row>
    <row r="86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  <c r="AB861" s="38"/>
      <c r="AC861" s="38"/>
      <c r="AD861" s="38"/>
      <c r="AE861" s="38"/>
      <c r="AF861" s="38"/>
      <c r="AG861" s="38"/>
      <c r="AH861" s="38"/>
      <c r="AI861" s="38"/>
      <c r="AJ861" s="38"/>
      <c r="AK861" s="38"/>
    </row>
    <row r="86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  <c r="AB862" s="38"/>
      <c r="AC862" s="38"/>
      <c r="AD862" s="38"/>
      <c r="AE862" s="38"/>
      <c r="AF862" s="38"/>
      <c r="AG862" s="38"/>
      <c r="AH862" s="38"/>
      <c r="AI862" s="38"/>
      <c r="AJ862" s="38"/>
      <c r="AK862" s="38"/>
    </row>
    <row r="863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  <c r="AB863" s="38"/>
      <c r="AC863" s="38"/>
      <c r="AD863" s="38"/>
      <c r="AE863" s="38"/>
      <c r="AF863" s="38"/>
      <c r="AG863" s="38"/>
      <c r="AH863" s="38"/>
      <c r="AI863" s="38"/>
      <c r="AJ863" s="38"/>
      <c r="AK863" s="38"/>
    </row>
    <row r="864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  <c r="AB864" s="38"/>
      <c r="AC864" s="38"/>
      <c r="AD864" s="38"/>
      <c r="AE864" s="38"/>
      <c r="AF864" s="38"/>
      <c r="AG864" s="38"/>
      <c r="AH864" s="38"/>
      <c r="AI864" s="38"/>
      <c r="AJ864" s="38"/>
      <c r="AK864" s="38"/>
    </row>
    <row r="865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  <c r="AB865" s="38"/>
      <c r="AC865" s="38"/>
      <c r="AD865" s="38"/>
      <c r="AE865" s="38"/>
      <c r="AF865" s="38"/>
      <c r="AG865" s="38"/>
      <c r="AH865" s="38"/>
      <c r="AI865" s="38"/>
      <c r="AJ865" s="38"/>
      <c r="AK865" s="38"/>
    </row>
    <row r="866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  <c r="AB866" s="38"/>
      <c r="AC866" s="38"/>
      <c r="AD866" s="38"/>
      <c r="AE866" s="38"/>
      <c r="AF866" s="38"/>
      <c r="AG866" s="38"/>
      <c r="AH866" s="38"/>
      <c r="AI866" s="38"/>
      <c r="AJ866" s="38"/>
      <c r="AK866" s="38"/>
    </row>
    <row r="867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  <c r="AB867" s="38"/>
      <c r="AC867" s="38"/>
      <c r="AD867" s="38"/>
      <c r="AE867" s="38"/>
      <c r="AF867" s="38"/>
      <c r="AG867" s="38"/>
      <c r="AH867" s="38"/>
      <c r="AI867" s="38"/>
      <c r="AJ867" s="38"/>
      <c r="AK867" s="38"/>
    </row>
    <row r="868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  <c r="AB868" s="38"/>
      <c r="AC868" s="38"/>
      <c r="AD868" s="38"/>
      <c r="AE868" s="38"/>
      <c r="AF868" s="38"/>
      <c r="AG868" s="38"/>
      <c r="AH868" s="38"/>
      <c r="AI868" s="38"/>
      <c r="AJ868" s="38"/>
      <c r="AK868" s="38"/>
    </row>
    <row r="869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  <c r="AB869" s="38"/>
      <c r="AC869" s="38"/>
      <c r="AD869" s="38"/>
      <c r="AE869" s="38"/>
      <c r="AF869" s="38"/>
      <c r="AG869" s="38"/>
      <c r="AH869" s="38"/>
      <c r="AI869" s="38"/>
      <c r="AJ869" s="38"/>
      <c r="AK869" s="38"/>
    </row>
    <row r="870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  <c r="AB870" s="38"/>
      <c r="AC870" s="38"/>
      <c r="AD870" s="38"/>
      <c r="AE870" s="38"/>
      <c r="AF870" s="38"/>
      <c r="AG870" s="38"/>
      <c r="AH870" s="38"/>
      <c r="AI870" s="38"/>
      <c r="AJ870" s="38"/>
      <c r="AK870" s="38"/>
    </row>
    <row r="87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  <c r="AB871" s="38"/>
      <c r="AC871" s="38"/>
      <c r="AD871" s="38"/>
      <c r="AE871" s="38"/>
      <c r="AF871" s="38"/>
      <c r="AG871" s="38"/>
      <c r="AH871" s="38"/>
      <c r="AI871" s="38"/>
      <c r="AJ871" s="38"/>
      <c r="AK871" s="38"/>
    </row>
    <row r="87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  <c r="AB872" s="38"/>
      <c r="AC872" s="38"/>
      <c r="AD872" s="38"/>
      <c r="AE872" s="38"/>
      <c r="AF872" s="38"/>
      <c r="AG872" s="38"/>
      <c r="AH872" s="38"/>
      <c r="AI872" s="38"/>
      <c r="AJ872" s="38"/>
      <c r="AK872" s="38"/>
    </row>
    <row r="873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  <c r="AB873" s="38"/>
      <c r="AC873" s="38"/>
      <c r="AD873" s="38"/>
      <c r="AE873" s="38"/>
      <c r="AF873" s="38"/>
      <c r="AG873" s="38"/>
      <c r="AH873" s="38"/>
      <c r="AI873" s="38"/>
      <c r="AJ873" s="38"/>
      <c r="AK873" s="38"/>
    </row>
    <row r="874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  <c r="AB874" s="38"/>
      <c r="AC874" s="38"/>
      <c r="AD874" s="38"/>
      <c r="AE874" s="38"/>
      <c r="AF874" s="38"/>
      <c r="AG874" s="38"/>
      <c r="AH874" s="38"/>
      <c r="AI874" s="38"/>
      <c r="AJ874" s="38"/>
      <c r="AK874" s="38"/>
    </row>
    <row r="875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  <c r="AB875" s="38"/>
      <c r="AC875" s="38"/>
      <c r="AD875" s="38"/>
      <c r="AE875" s="38"/>
      <c r="AF875" s="38"/>
      <c r="AG875" s="38"/>
      <c r="AH875" s="38"/>
      <c r="AI875" s="38"/>
      <c r="AJ875" s="38"/>
      <c r="AK875" s="38"/>
    </row>
    <row r="876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  <c r="AB876" s="38"/>
      <c r="AC876" s="38"/>
      <c r="AD876" s="38"/>
      <c r="AE876" s="38"/>
      <c r="AF876" s="38"/>
      <c r="AG876" s="38"/>
      <c r="AH876" s="38"/>
      <c r="AI876" s="38"/>
      <c r="AJ876" s="38"/>
      <c r="AK876" s="38"/>
    </row>
    <row r="877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  <c r="AB877" s="38"/>
      <c r="AC877" s="38"/>
      <c r="AD877" s="38"/>
      <c r="AE877" s="38"/>
      <c r="AF877" s="38"/>
      <c r="AG877" s="38"/>
      <c r="AH877" s="38"/>
      <c r="AI877" s="38"/>
      <c r="AJ877" s="38"/>
      <c r="AK877" s="38"/>
    </row>
    <row r="878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  <c r="AB878" s="38"/>
      <c r="AC878" s="38"/>
      <c r="AD878" s="38"/>
      <c r="AE878" s="38"/>
      <c r="AF878" s="38"/>
      <c r="AG878" s="38"/>
      <c r="AH878" s="38"/>
      <c r="AI878" s="38"/>
      <c r="AJ878" s="38"/>
      <c r="AK878" s="38"/>
    </row>
    <row r="879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  <c r="AB879" s="38"/>
      <c r="AC879" s="38"/>
      <c r="AD879" s="38"/>
      <c r="AE879" s="38"/>
      <c r="AF879" s="38"/>
      <c r="AG879" s="38"/>
      <c r="AH879" s="38"/>
      <c r="AI879" s="38"/>
      <c r="AJ879" s="38"/>
      <c r="AK879" s="38"/>
    </row>
    <row r="880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  <c r="AB880" s="38"/>
      <c r="AC880" s="38"/>
      <c r="AD880" s="38"/>
      <c r="AE880" s="38"/>
      <c r="AF880" s="38"/>
      <c r="AG880" s="38"/>
      <c r="AH880" s="38"/>
      <c r="AI880" s="38"/>
      <c r="AJ880" s="38"/>
      <c r="AK880" s="38"/>
    </row>
    <row r="88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  <c r="AB881" s="38"/>
      <c r="AC881" s="38"/>
      <c r="AD881" s="38"/>
      <c r="AE881" s="38"/>
      <c r="AF881" s="38"/>
      <c r="AG881" s="38"/>
      <c r="AH881" s="38"/>
      <c r="AI881" s="38"/>
      <c r="AJ881" s="38"/>
      <c r="AK881" s="38"/>
    </row>
    <row r="88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  <c r="AB882" s="38"/>
      <c r="AC882" s="38"/>
      <c r="AD882" s="38"/>
      <c r="AE882" s="38"/>
      <c r="AF882" s="38"/>
      <c r="AG882" s="38"/>
      <c r="AH882" s="38"/>
      <c r="AI882" s="38"/>
      <c r="AJ882" s="38"/>
      <c r="AK882" s="38"/>
    </row>
    <row r="883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  <c r="AB883" s="38"/>
      <c r="AC883" s="38"/>
      <c r="AD883" s="38"/>
      <c r="AE883" s="38"/>
      <c r="AF883" s="38"/>
      <c r="AG883" s="38"/>
      <c r="AH883" s="38"/>
      <c r="AI883" s="38"/>
      <c r="AJ883" s="38"/>
      <c r="AK883" s="38"/>
    </row>
    <row r="884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  <c r="AB884" s="38"/>
      <c r="AC884" s="38"/>
      <c r="AD884" s="38"/>
      <c r="AE884" s="38"/>
      <c r="AF884" s="38"/>
      <c r="AG884" s="38"/>
      <c r="AH884" s="38"/>
      <c r="AI884" s="38"/>
      <c r="AJ884" s="38"/>
      <c r="AK884" s="38"/>
    </row>
    <row r="885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  <c r="AB885" s="38"/>
      <c r="AC885" s="38"/>
      <c r="AD885" s="38"/>
      <c r="AE885" s="38"/>
      <c r="AF885" s="38"/>
      <c r="AG885" s="38"/>
      <c r="AH885" s="38"/>
      <c r="AI885" s="38"/>
      <c r="AJ885" s="38"/>
      <c r="AK885" s="38"/>
    </row>
    <row r="886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  <c r="AB886" s="38"/>
      <c r="AC886" s="38"/>
      <c r="AD886" s="38"/>
      <c r="AE886" s="38"/>
      <c r="AF886" s="38"/>
      <c r="AG886" s="38"/>
      <c r="AH886" s="38"/>
      <c r="AI886" s="38"/>
      <c r="AJ886" s="38"/>
      <c r="AK886" s="38"/>
    </row>
    <row r="887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  <c r="AB887" s="38"/>
      <c r="AC887" s="38"/>
      <c r="AD887" s="38"/>
      <c r="AE887" s="38"/>
      <c r="AF887" s="38"/>
      <c r="AG887" s="38"/>
      <c r="AH887" s="38"/>
      <c r="AI887" s="38"/>
      <c r="AJ887" s="38"/>
      <c r="AK887" s="38"/>
    </row>
    <row r="888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  <c r="AB888" s="38"/>
      <c r="AC888" s="38"/>
      <c r="AD888" s="38"/>
      <c r="AE888" s="38"/>
      <c r="AF888" s="38"/>
      <c r="AG888" s="38"/>
      <c r="AH888" s="38"/>
      <c r="AI888" s="38"/>
      <c r="AJ888" s="38"/>
      <c r="AK888" s="38"/>
    </row>
    <row r="889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  <c r="AB889" s="38"/>
      <c r="AC889" s="38"/>
      <c r="AD889" s="38"/>
      <c r="AE889" s="38"/>
      <c r="AF889" s="38"/>
      <c r="AG889" s="38"/>
      <c r="AH889" s="38"/>
      <c r="AI889" s="38"/>
      <c r="AJ889" s="38"/>
      <c r="AK889" s="38"/>
    </row>
    <row r="890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  <c r="AB890" s="38"/>
      <c r="AC890" s="38"/>
      <c r="AD890" s="38"/>
      <c r="AE890" s="38"/>
      <c r="AF890" s="38"/>
      <c r="AG890" s="38"/>
      <c r="AH890" s="38"/>
      <c r="AI890" s="38"/>
      <c r="AJ890" s="38"/>
      <c r="AK890" s="38"/>
    </row>
    <row r="89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  <c r="AB891" s="38"/>
      <c r="AC891" s="38"/>
      <c r="AD891" s="38"/>
      <c r="AE891" s="38"/>
      <c r="AF891" s="38"/>
      <c r="AG891" s="38"/>
      <c r="AH891" s="38"/>
      <c r="AI891" s="38"/>
      <c r="AJ891" s="38"/>
      <c r="AK891" s="38"/>
    </row>
    <row r="89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  <c r="AB892" s="38"/>
      <c r="AC892" s="38"/>
      <c r="AD892" s="38"/>
      <c r="AE892" s="38"/>
      <c r="AF892" s="38"/>
      <c r="AG892" s="38"/>
      <c r="AH892" s="38"/>
      <c r="AI892" s="38"/>
      <c r="AJ892" s="38"/>
      <c r="AK892" s="38"/>
    </row>
    <row r="893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  <c r="AB893" s="38"/>
      <c r="AC893" s="38"/>
      <c r="AD893" s="38"/>
      <c r="AE893" s="38"/>
      <c r="AF893" s="38"/>
      <c r="AG893" s="38"/>
      <c r="AH893" s="38"/>
      <c r="AI893" s="38"/>
      <c r="AJ893" s="38"/>
      <c r="AK893" s="38"/>
    </row>
    <row r="894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  <c r="AB894" s="38"/>
      <c r="AC894" s="38"/>
      <c r="AD894" s="38"/>
      <c r="AE894" s="38"/>
      <c r="AF894" s="38"/>
      <c r="AG894" s="38"/>
      <c r="AH894" s="38"/>
      <c r="AI894" s="38"/>
      <c r="AJ894" s="38"/>
      <c r="AK894" s="38"/>
    </row>
    <row r="895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38"/>
      <c r="AB895" s="38"/>
      <c r="AC895" s="38"/>
      <c r="AD895" s="38"/>
      <c r="AE895" s="38"/>
      <c r="AF895" s="38"/>
      <c r="AG895" s="38"/>
      <c r="AH895" s="38"/>
      <c r="AI895" s="38"/>
      <c r="AJ895" s="38"/>
      <c r="AK895" s="38"/>
    </row>
    <row r="896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38"/>
      <c r="AB896" s="38"/>
      <c r="AC896" s="38"/>
      <c r="AD896" s="38"/>
      <c r="AE896" s="38"/>
      <c r="AF896" s="38"/>
      <c r="AG896" s="38"/>
      <c r="AH896" s="38"/>
      <c r="AI896" s="38"/>
      <c r="AJ896" s="38"/>
      <c r="AK896" s="38"/>
    </row>
    <row r="897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38"/>
      <c r="AB897" s="38"/>
      <c r="AC897" s="38"/>
      <c r="AD897" s="38"/>
      <c r="AE897" s="38"/>
      <c r="AF897" s="38"/>
      <c r="AG897" s="38"/>
      <c r="AH897" s="38"/>
      <c r="AI897" s="38"/>
      <c r="AJ897" s="38"/>
      <c r="AK897" s="38"/>
    </row>
    <row r="898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38"/>
      <c r="AB898" s="38"/>
      <c r="AC898" s="38"/>
      <c r="AD898" s="38"/>
      <c r="AE898" s="38"/>
      <c r="AF898" s="38"/>
      <c r="AG898" s="38"/>
      <c r="AH898" s="38"/>
      <c r="AI898" s="38"/>
      <c r="AJ898" s="38"/>
      <c r="AK898" s="38"/>
    </row>
    <row r="899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  <c r="AB899" s="38"/>
      <c r="AC899" s="38"/>
      <c r="AD899" s="38"/>
      <c r="AE899" s="38"/>
      <c r="AF899" s="38"/>
      <c r="AG899" s="38"/>
      <c r="AH899" s="38"/>
      <c r="AI899" s="38"/>
      <c r="AJ899" s="38"/>
      <c r="AK899" s="38"/>
    </row>
    <row r="900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  <c r="AB900" s="38"/>
      <c r="AC900" s="38"/>
      <c r="AD900" s="38"/>
      <c r="AE900" s="38"/>
      <c r="AF900" s="38"/>
      <c r="AG900" s="38"/>
      <c r="AH900" s="38"/>
      <c r="AI900" s="38"/>
      <c r="AJ900" s="38"/>
      <c r="AK900" s="38"/>
    </row>
    <row r="90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  <c r="AB901" s="38"/>
      <c r="AC901" s="38"/>
      <c r="AD901" s="38"/>
      <c r="AE901" s="38"/>
      <c r="AF901" s="38"/>
      <c r="AG901" s="38"/>
      <c r="AH901" s="38"/>
      <c r="AI901" s="38"/>
      <c r="AJ901" s="38"/>
      <c r="AK901" s="38"/>
    </row>
    <row r="90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  <c r="AB902" s="38"/>
      <c r="AC902" s="38"/>
      <c r="AD902" s="38"/>
      <c r="AE902" s="38"/>
      <c r="AF902" s="38"/>
      <c r="AG902" s="38"/>
      <c r="AH902" s="38"/>
      <c r="AI902" s="38"/>
      <c r="AJ902" s="38"/>
      <c r="AK902" s="38"/>
    </row>
    <row r="903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  <c r="AB903" s="38"/>
      <c r="AC903" s="38"/>
      <c r="AD903" s="38"/>
      <c r="AE903" s="38"/>
      <c r="AF903" s="38"/>
      <c r="AG903" s="38"/>
      <c r="AH903" s="38"/>
      <c r="AI903" s="38"/>
      <c r="AJ903" s="38"/>
      <c r="AK903" s="38"/>
    </row>
    <row r="904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  <c r="AB904" s="38"/>
      <c r="AC904" s="38"/>
      <c r="AD904" s="38"/>
      <c r="AE904" s="38"/>
      <c r="AF904" s="38"/>
      <c r="AG904" s="38"/>
      <c r="AH904" s="38"/>
      <c r="AI904" s="38"/>
      <c r="AJ904" s="38"/>
      <c r="AK904" s="38"/>
    </row>
    <row r="905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  <c r="AB905" s="38"/>
      <c r="AC905" s="38"/>
      <c r="AD905" s="38"/>
      <c r="AE905" s="38"/>
      <c r="AF905" s="38"/>
      <c r="AG905" s="38"/>
      <c r="AH905" s="38"/>
      <c r="AI905" s="38"/>
      <c r="AJ905" s="38"/>
      <c r="AK905" s="38"/>
    </row>
    <row r="906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  <c r="AB906" s="38"/>
      <c r="AC906" s="38"/>
      <c r="AD906" s="38"/>
      <c r="AE906" s="38"/>
      <c r="AF906" s="38"/>
      <c r="AG906" s="38"/>
      <c r="AH906" s="38"/>
      <c r="AI906" s="38"/>
      <c r="AJ906" s="38"/>
      <c r="AK906" s="38"/>
    </row>
    <row r="907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  <c r="AB907" s="38"/>
      <c r="AC907" s="38"/>
      <c r="AD907" s="38"/>
      <c r="AE907" s="38"/>
      <c r="AF907" s="38"/>
      <c r="AG907" s="38"/>
      <c r="AH907" s="38"/>
      <c r="AI907" s="38"/>
      <c r="AJ907" s="38"/>
      <c r="AK907" s="38"/>
    </row>
    <row r="908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  <c r="AB908" s="38"/>
      <c r="AC908" s="38"/>
      <c r="AD908" s="38"/>
      <c r="AE908" s="38"/>
      <c r="AF908" s="38"/>
      <c r="AG908" s="38"/>
      <c r="AH908" s="38"/>
      <c r="AI908" s="38"/>
      <c r="AJ908" s="38"/>
      <c r="AK908" s="38"/>
    </row>
    <row r="909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  <c r="AB909" s="38"/>
      <c r="AC909" s="38"/>
      <c r="AD909" s="38"/>
      <c r="AE909" s="38"/>
      <c r="AF909" s="38"/>
      <c r="AG909" s="38"/>
      <c r="AH909" s="38"/>
      <c r="AI909" s="38"/>
      <c r="AJ909" s="38"/>
      <c r="AK909" s="38"/>
    </row>
    <row r="910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  <c r="AB910" s="38"/>
      <c r="AC910" s="38"/>
      <c r="AD910" s="38"/>
      <c r="AE910" s="38"/>
      <c r="AF910" s="38"/>
      <c r="AG910" s="38"/>
      <c r="AH910" s="38"/>
      <c r="AI910" s="38"/>
      <c r="AJ910" s="38"/>
      <c r="AK910" s="38"/>
    </row>
    <row r="91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  <c r="AB911" s="38"/>
      <c r="AC911" s="38"/>
      <c r="AD911" s="38"/>
      <c r="AE911" s="38"/>
      <c r="AF911" s="38"/>
      <c r="AG911" s="38"/>
      <c r="AH911" s="38"/>
      <c r="AI911" s="38"/>
      <c r="AJ911" s="38"/>
      <c r="AK911" s="38"/>
    </row>
    <row r="91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  <c r="AB912" s="38"/>
      <c r="AC912" s="38"/>
      <c r="AD912" s="38"/>
      <c r="AE912" s="38"/>
      <c r="AF912" s="38"/>
      <c r="AG912" s="38"/>
      <c r="AH912" s="38"/>
      <c r="AI912" s="38"/>
      <c r="AJ912" s="38"/>
      <c r="AK912" s="38"/>
    </row>
    <row r="913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  <c r="AB913" s="38"/>
      <c r="AC913" s="38"/>
      <c r="AD913" s="38"/>
      <c r="AE913" s="38"/>
      <c r="AF913" s="38"/>
      <c r="AG913" s="38"/>
      <c r="AH913" s="38"/>
      <c r="AI913" s="38"/>
      <c r="AJ913" s="38"/>
      <c r="AK913" s="38"/>
    </row>
    <row r="914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  <c r="AB914" s="38"/>
      <c r="AC914" s="38"/>
      <c r="AD914" s="38"/>
      <c r="AE914" s="38"/>
      <c r="AF914" s="38"/>
      <c r="AG914" s="38"/>
      <c r="AH914" s="38"/>
      <c r="AI914" s="38"/>
      <c r="AJ914" s="38"/>
      <c r="AK914" s="38"/>
    </row>
    <row r="915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  <c r="AB915" s="38"/>
      <c r="AC915" s="38"/>
      <c r="AD915" s="38"/>
      <c r="AE915" s="38"/>
      <c r="AF915" s="38"/>
      <c r="AG915" s="38"/>
      <c r="AH915" s="38"/>
      <c r="AI915" s="38"/>
      <c r="AJ915" s="38"/>
      <c r="AK915" s="38"/>
    </row>
    <row r="916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  <c r="AB916" s="38"/>
      <c r="AC916" s="38"/>
      <c r="AD916" s="38"/>
      <c r="AE916" s="38"/>
      <c r="AF916" s="38"/>
      <c r="AG916" s="38"/>
      <c r="AH916" s="38"/>
      <c r="AI916" s="38"/>
      <c r="AJ916" s="38"/>
      <c r="AK916" s="38"/>
    </row>
    <row r="917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  <c r="AB917" s="38"/>
      <c r="AC917" s="38"/>
      <c r="AD917" s="38"/>
      <c r="AE917" s="38"/>
      <c r="AF917" s="38"/>
      <c r="AG917" s="38"/>
      <c r="AH917" s="38"/>
      <c r="AI917" s="38"/>
      <c r="AJ917" s="38"/>
      <c r="AK917" s="38"/>
    </row>
    <row r="918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  <c r="AB918" s="38"/>
      <c r="AC918" s="38"/>
      <c r="AD918" s="38"/>
      <c r="AE918" s="38"/>
      <c r="AF918" s="38"/>
      <c r="AG918" s="38"/>
      <c r="AH918" s="38"/>
      <c r="AI918" s="38"/>
      <c r="AJ918" s="38"/>
      <c r="AK918" s="38"/>
    </row>
    <row r="919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  <c r="AB919" s="38"/>
      <c r="AC919" s="38"/>
      <c r="AD919" s="38"/>
      <c r="AE919" s="38"/>
      <c r="AF919" s="38"/>
      <c r="AG919" s="38"/>
      <c r="AH919" s="38"/>
      <c r="AI919" s="38"/>
      <c r="AJ919" s="38"/>
      <c r="AK919" s="38"/>
    </row>
    <row r="920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  <c r="AB920" s="38"/>
      <c r="AC920" s="38"/>
      <c r="AD920" s="38"/>
      <c r="AE920" s="38"/>
      <c r="AF920" s="38"/>
      <c r="AG920" s="38"/>
      <c r="AH920" s="38"/>
      <c r="AI920" s="38"/>
      <c r="AJ920" s="38"/>
      <c r="AK920" s="38"/>
    </row>
    <row r="92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  <c r="AB921" s="38"/>
      <c r="AC921" s="38"/>
      <c r="AD921" s="38"/>
      <c r="AE921" s="38"/>
      <c r="AF921" s="38"/>
      <c r="AG921" s="38"/>
      <c r="AH921" s="38"/>
      <c r="AI921" s="38"/>
      <c r="AJ921" s="38"/>
      <c r="AK921" s="38"/>
    </row>
    <row r="92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  <c r="AB922" s="38"/>
      <c r="AC922" s="38"/>
      <c r="AD922" s="38"/>
      <c r="AE922" s="38"/>
      <c r="AF922" s="38"/>
      <c r="AG922" s="38"/>
      <c r="AH922" s="38"/>
      <c r="AI922" s="38"/>
      <c r="AJ922" s="38"/>
      <c r="AK922" s="38"/>
    </row>
    <row r="923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  <c r="AB923" s="38"/>
      <c r="AC923" s="38"/>
      <c r="AD923" s="38"/>
      <c r="AE923" s="38"/>
      <c r="AF923" s="38"/>
      <c r="AG923" s="38"/>
      <c r="AH923" s="38"/>
      <c r="AI923" s="38"/>
      <c r="AJ923" s="38"/>
      <c r="AK923" s="38"/>
    </row>
    <row r="924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  <c r="AB924" s="38"/>
      <c r="AC924" s="38"/>
      <c r="AD924" s="38"/>
      <c r="AE924" s="38"/>
      <c r="AF924" s="38"/>
      <c r="AG924" s="38"/>
      <c r="AH924" s="38"/>
      <c r="AI924" s="38"/>
      <c r="AJ924" s="38"/>
      <c r="AK924" s="38"/>
    </row>
    <row r="925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  <c r="AB925" s="38"/>
      <c r="AC925" s="38"/>
      <c r="AD925" s="38"/>
      <c r="AE925" s="38"/>
      <c r="AF925" s="38"/>
      <c r="AG925" s="38"/>
      <c r="AH925" s="38"/>
      <c r="AI925" s="38"/>
      <c r="AJ925" s="38"/>
      <c r="AK925" s="38"/>
    </row>
    <row r="926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  <c r="AB926" s="38"/>
      <c r="AC926" s="38"/>
      <c r="AD926" s="38"/>
      <c r="AE926" s="38"/>
      <c r="AF926" s="38"/>
      <c r="AG926" s="38"/>
      <c r="AH926" s="38"/>
      <c r="AI926" s="38"/>
      <c r="AJ926" s="38"/>
      <c r="AK926" s="38"/>
    </row>
    <row r="927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  <c r="AB927" s="38"/>
      <c r="AC927" s="38"/>
      <c r="AD927" s="38"/>
      <c r="AE927" s="38"/>
      <c r="AF927" s="38"/>
      <c r="AG927" s="38"/>
      <c r="AH927" s="38"/>
      <c r="AI927" s="38"/>
      <c r="AJ927" s="38"/>
      <c r="AK927" s="38"/>
    </row>
    <row r="928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  <c r="AB928" s="38"/>
      <c r="AC928" s="38"/>
      <c r="AD928" s="38"/>
      <c r="AE928" s="38"/>
      <c r="AF928" s="38"/>
      <c r="AG928" s="38"/>
      <c r="AH928" s="38"/>
      <c r="AI928" s="38"/>
      <c r="AJ928" s="38"/>
      <c r="AK928" s="38"/>
    </row>
    <row r="929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  <c r="AB929" s="38"/>
      <c r="AC929" s="38"/>
      <c r="AD929" s="38"/>
      <c r="AE929" s="38"/>
      <c r="AF929" s="38"/>
      <c r="AG929" s="38"/>
      <c r="AH929" s="38"/>
      <c r="AI929" s="38"/>
      <c r="AJ929" s="38"/>
      <c r="AK929" s="38"/>
    </row>
    <row r="930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  <c r="AB930" s="38"/>
      <c r="AC930" s="38"/>
      <c r="AD930" s="38"/>
      <c r="AE930" s="38"/>
      <c r="AF930" s="38"/>
      <c r="AG930" s="38"/>
      <c r="AH930" s="38"/>
      <c r="AI930" s="38"/>
      <c r="AJ930" s="38"/>
      <c r="AK930" s="38"/>
    </row>
    <row r="93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  <c r="AB931" s="38"/>
      <c r="AC931" s="38"/>
      <c r="AD931" s="38"/>
      <c r="AE931" s="38"/>
      <c r="AF931" s="38"/>
      <c r="AG931" s="38"/>
      <c r="AH931" s="38"/>
      <c r="AI931" s="38"/>
      <c r="AJ931" s="38"/>
      <c r="AK931" s="38"/>
    </row>
    <row r="932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  <c r="AB932" s="38"/>
      <c r="AC932" s="38"/>
      <c r="AD932" s="38"/>
      <c r="AE932" s="38"/>
      <c r="AF932" s="38"/>
      <c r="AG932" s="38"/>
      <c r="AH932" s="38"/>
      <c r="AI932" s="38"/>
      <c r="AJ932" s="38"/>
      <c r="AK932" s="38"/>
    </row>
    <row r="933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  <c r="AB933" s="38"/>
      <c r="AC933" s="38"/>
      <c r="AD933" s="38"/>
      <c r="AE933" s="38"/>
      <c r="AF933" s="38"/>
      <c r="AG933" s="38"/>
      <c r="AH933" s="38"/>
      <c r="AI933" s="38"/>
      <c r="AJ933" s="38"/>
      <c r="AK933" s="38"/>
    </row>
    <row r="934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  <c r="AB934" s="38"/>
      <c r="AC934" s="38"/>
      <c r="AD934" s="38"/>
      <c r="AE934" s="38"/>
      <c r="AF934" s="38"/>
      <c r="AG934" s="38"/>
      <c r="AH934" s="38"/>
      <c r="AI934" s="38"/>
      <c r="AJ934" s="38"/>
      <c r="AK934" s="38"/>
    </row>
    <row r="935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  <c r="AB935" s="38"/>
      <c r="AC935" s="38"/>
      <c r="AD935" s="38"/>
      <c r="AE935" s="38"/>
      <c r="AF935" s="38"/>
      <c r="AG935" s="38"/>
      <c r="AH935" s="38"/>
      <c r="AI935" s="38"/>
      <c r="AJ935" s="38"/>
      <c r="AK935" s="38"/>
    </row>
    <row r="936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  <c r="AB936" s="38"/>
      <c r="AC936" s="38"/>
      <c r="AD936" s="38"/>
      <c r="AE936" s="38"/>
      <c r="AF936" s="38"/>
      <c r="AG936" s="38"/>
      <c r="AH936" s="38"/>
      <c r="AI936" s="38"/>
      <c r="AJ936" s="38"/>
      <c r="AK936" s="38"/>
    </row>
    <row r="937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  <c r="AB937" s="38"/>
      <c r="AC937" s="38"/>
      <c r="AD937" s="38"/>
      <c r="AE937" s="38"/>
      <c r="AF937" s="38"/>
      <c r="AG937" s="38"/>
      <c r="AH937" s="38"/>
      <c r="AI937" s="38"/>
      <c r="AJ937" s="38"/>
      <c r="AK937" s="38"/>
    </row>
    <row r="938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  <c r="AB938" s="38"/>
      <c r="AC938" s="38"/>
      <c r="AD938" s="38"/>
      <c r="AE938" s="38"/>
      <c r="AF938" s="38"/>
      <c r="AG938" s="38"/>
      <c r="AH938" s="38"/>
      <c r="AI938" s="38"/>
      <c r="AJ938" s="38"/>
      <c r="AK938" s="38"/>
    </row>
    <row r="939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  <c r="AB939" s="38"/>
      <c r="AC939" s="38"/>
      <c r="AD939" s="38"/>
      <c r="AE939" s="38"/>
      <c r="AF939" s="38"/>
      <c r="AG939" s="38"/>
      <c r="AH939" s="38"/>
      <c r="AI939" s="38"/>
      <c r="AJ939" s="38"/>
      <c r="AK939" s="38"/>
    </row>
    <row r="940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  <c r="AB940" s="38"/>
      <c r="AC940" s="38"/>
      <c r="AD940" s="38"/>
      <c r="AE940" s="38"/>
      <c r="AF940" s="38"/>
      <c r="AG940" s="38"/>
      <c r="AH940" s="38"/>
      <c r="AI940" s="38"/>
      <c r="AJ940" s="38"/>
      <c r="AK940" s="38"/>
    </row>
    <row r="94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  <c r="AB941" s="38"/>
      <c r="AC941" s="38"/>
      <c r="AD941" s="38"/>
      <c r="AE941" s="38"/>
      <c r="AF941" s="38"/>
      <c r="AG941" s="38"/>
      <c r="AH941" s="38"/>
      <c r="AI941" s="38"/>
      <c r="AJ941" s="38"/>
      <c r="AK941" s="38"/>
    </row>
    <row r="942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  <c r="AB942" s="38"/>
      <c r="AC942" s="38"/>
      <c r="AD942" s="38"/>
      <c r="AE942" s="38"/>
      <c r="AF942" s="38"/>
      <c r="AG942" s="38"/>
      <c r="AH942" s="38"/>
      <c r="AI942" s="38"/>
      <c r="AJ942" s="38"/>
      <c r="AK942" s="38"/>
    </row>
    <row r="943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  <c r="AB943" s="38"/>
      <c r="AC943" s="38"/>
      <c r="AD943" s="38"/>
      <c r="AE943" s="38"/>
      <c r="AF943" s="38"/>
      <c r="AG943" s="38"/>
      <c r="AH943" s="38"/>
      <c r="AI943" s="38"/>
      <c r="AJ943" s="38"/>
      <c r="AK943" s="38"/>
    </row>
    <row r="944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  <c r="AB944" s="38"/>
      <c r="AC944" s="38"/>
      <c r="AD944" s="38"/>
      <c r="AE944" s="38"/>
      <c r="AF944" s="38"/>
      <c r="AG944" s="38"/>
      <c r="AH944" s="38"/>
      <c r="AI944" s="38"/>
      <c r="AJ944" s="38"/>
      <c r="AK944" s="38"/>
    </row>
    <row r="945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  <c r="AB945" s="38"/>
      <c r="AC945" s="38"/>
      <c r="AD945" s="38"/>
      <c r="AE945" s="38"/>
      <c r="AF945" s="38"/>
      <c r="AG945" s="38"/>
      <c r="AH945" s="38"/>
      <c r="AI945" s="38"/>
      <c r="AJ945" s="38"/>
      <c r="AK945" s="38"/>
    </row>
    <row r="946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  <c r="AB946" s="38"/>
      <c r="AC946" s="38"/>
      <c r="AD946" s="38"/>
      <c r="AE946" s="38"/>
      <c r="AF946" s="38"/>
      <c r="AG946" s="38"/>
      <c r="AH946" s="38"/>
      <c r="AI946" s="38"/>
      <c r="AJ946" s="38"/>
      <c r="AK946" s="38"/>
    </row>
    <row r="947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  <c r="AB947" s="38"/>
      <c r="AC947" s="38"/>
      <c r="AD947" s="38"/>
      <c r="AE947" s="38"/>
      <c r="AF947" s="38"/>
      <c r="AG947" s="38"/>
      <c r="AH947" s="38"/>
      <c r="AI947" s="38"/>
      <c r="AJ947" s="38"/>
      <c r="AK947" s="38"/>
    </row>
    <row r="948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  <c r="AB948" s="38"/>
      <c r="AC948" s="38"/>
      <c r="AD948" s="38"/>
      <c r="AE948" s="38"/>
      <c r="AF948" s="38"/>
      <c r="AG948" s="38"/>
      <c r="AH948" s="38"/>
      <c r="AI948" s="38"/>
      <c r="AJ948" s="38"/>
      <c r="AK948" s="38"/>
    </row>
    <row r="949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  <c r="AB949" s="38"/>
      <c r="AC949" s="38"/>
      <c r="AD949" s="38"/>
      <c r="AE949" s="38"/>
      <c r="AF949" s="38"/>
      <c r="AG949" s="38"/>
      <c r="AH949" s="38"/>
      <c r="AI949" s="38"/>
      <c r="AJ949" s="38"/>
      <c r="AK949" s="38"/>
    </row>
    <row r="950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  <c r="AB950" s="38"/>
      <c r="AC950" s="38"/>
      <c r="AD950" s="38"/>
      <c r="AE950" s="38"/>
      <c r="AF950" s="38"/>
      <c r="AG950" s="38"/>
      <c r="AH950" s="38"/>
      <c r="AI950" s="38"/>
      <c r="AJ950" s="38"/>
      <c r="AK950" s="38"/>
    </row>
    <row r="95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  <c r="AB951" s="38"/>
      <c r="AC951" s="38"/>
      <c r="AD951" s="38"/>
      <c r="AE951" s="38"/>
      <c r="AF951" s="38"/>
      <c r="AG951" s="38"/>
      <c r="AH951" s="38"/>
      <c r="AI951" s="38"/>
      <c r="AJ951" s="38"/>
      <c r="AK951" s="38"/>
    </row>
    <row r="952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  <c r="AB952" s="38"/>
      <c r="AC952" s="38"/>
      <c r="AD952" s="38"/>
      <c r="AE952" s="38"/>
      <c r="AF952" s="38"/>
      <c r="AG952" s="38"/>
      <c r="AH952" s="38"/>
      <c r="AI952" s="38"/>
      <c r="AJ952" s="38"/>
      <c r="AK952" s="38"/>
    </row>
    <row r="953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  <c r="AB953" s="38"/>
      <c r="AC953" s="38"/>
      <c r="AD953" s="38"/>
      <c r="AE953" s="38"/>
      <c r="AF953" s="38"/>
      <c r="AG953" s="38"/>
      <c r="AH953" s="38"/>
      <c r="AI953" s="38"/>
      <c r="AJ953" s="38"/>
      <c r="AK953" s="38"/>
    </row>
    <row r="954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  <c r="AB954" s="38"/>
      <c r="AC954" s="38"/>
      <c r="AD954" s="38"/>
      <c r="AE954" s="38"/>
      <c r="AF954" s="38"/>
      <c r="AG954" s="38"/>
      <c r="AH954" s="38"/>
      <c r="AI954" s="38"/>
      <c r="AJ954" s="38"/>
      <c r="AK954" s="38"/>
    </row>
    <row r="955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  <c r="AB955" s="38"/>
      <c r="AC955" s="38"/>
      <c r="AD955" s="38"/>
      <c r="AE955" s="38"/>
      <c r="AF955" s="38"/>
      <c r="AG955" s="38"/>
      <c r="AH955" s="38"/>
      <c r="AI955" s="38"/>
      <c r="AJ955" s="38"/>
      <c r="AK955" s="38"/>
    </row>
    <row r="956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  <c r="AB956" s="38"/>
      <c r="AC956" s="38"/>
      <c r="AD956" s="38"/>
      <c r="AE956" s="38"/>
      <c r="AF956" s="38"/>
      <c r="AG956" s="38"/>
      <c r="AH956" s="38"/>
      <c r="AI956" s="38"/>
      <c r="AJ956" s="38"/>
      <c r="AK956" s="38"/>
    </row>
    <row r="957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  <c r="AB957" s="38"/>
      <c r="AC957" s="38"/>
      <c r="AD957" s="38"/>
      <c r="AE957" s="38"/>
      <c r="AF957" s="38"/>
      <c r="AG957" s="38"/>
      <c r="AH957" s="38"/>
      <c r="AI957" s="38"/>
      <c r="AJ957" s="38"/>
      <c r="AK957" s="38"/>
    </row>
    <row r="958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  <c r="AB958" s="38"/>
      <c r="AC958" s="38"/>
      <c r="AD958" s="38"/>
      <c r="AE958" s="38"/>
      <c r="AF958" s="38"/>
      <c r="AG958" s="38"/>
      <c r="AH958" s="38"/>
      <c r="AI958" s="38"/>
      <c r="AJ958" s="38"/>
      <c r="AK958" s="38"/>
    </row>
    <row r="959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  <c r="AB959" s="38"/>
      <c r="AC959" s="38"/>
      <c r="AD959" s="38"/>
      <c r="AE959" s="38"/>
      <c r="AF959" s="38"/>
      <c r="AG959" s="38"/>
      <c r="AH959" s="38"/>
      <c r="AI959" s="38"/>
      <c r="AJ959" s="38"/>
      <c r="AK959" s="38"/>
    </row>
    <row r="960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  <c r="AB960" s="38"/>
      <c r="AC960" s="38"/>
      <c r="AD960" s="38"/>
      <c r="AE960" s="38"/>
      <c r="AF960" s="38"/>
      <c r="AG960" s="38"/>
      <c r="AH960" s="38"/>
      <c r="AI960" s="38"/>
      <c r="AJ960" s="38"/>
      <c r="AK960" s="38"/>
    </row>
    <row r="96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  <c r="AB961" s="38"/>
      <c r="AC961" s="38"/>
      <c r="AD961" s="38"/>
      <c r="AE961" s="38"/>
      <c r="AF961" s="38"/>
      <c r="AG961" s="38"/>
      <c r="AH961" s="38"/>
      <c r="AI961" s="38"/>
      <c r="AJ961" s="38"/>
      <c r="AK961" s="38"/>
    </row>
    <row r="962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  <c r="AB962" s="38"/>
      <c r="AC962" s="38"/>
      <c r="AD962" s="38"/>
      <c r="AE962" s="38"/>
      <c r="AF962" s="38"/>
      <c r="AG962" s="38"/>
      <c r="AH962" s="38"/>
      <c r="AI962" s="38"/>
      <c r="AJ962" s="38"/>
      <c r="AK962" s="38"/>
    </row>
    <row r="963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  <c r="AB963" s="38"/>
      <c r="AC963" s="38"/>
      <c r="AD963" s="38"/>
      <c r="AE963" s="38"/>
      <c r="AF963" s="38"/>
      <c r="AG963" s="38"/>
      <c r="AH963" s="38"/>
      <c r="AI963" s="38"/>
      <c r="AJ963" s="38"/>
      <c r="AK963" s="38"/>
    </row>
    <row r="964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  <c r="AB964" s="38"/>
      <c r="AC964" s="38"/>
      <c r="AD964" s="38"/>
      <c r="AE964" s="38"/>
      <c r="AF964" s="38"/>
      <c r="AG964" s="38"/>
      <c r="AH964" s="38"/>
      <c r="AI964" s="38"/>
      <c r="AJ964" s="38"/>
      <c r="AK964" s="38"/>
    </row>
    <row r="965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  <c r="AB965" s="38"/>
      <c r="AC965" s="38"/>
      <c r="AD965" s="38"/>
      <c r="AE965" s="38"/>
      <c r="AF965" s="38"/>
      <c r="AG965" s="38"/>
      <c r="AH965" s="38"/>
      <c r="AI965" s="38"/>
      <c r="AJ965" s="38"/>
      <c r="AK965" s="38"/>
    </row>
    <row r="966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  <c r="AB966" s="38"/>
      <c r="AC966" s="38"/>
      <c r="AD966" s="38"/>
      <c r="AE966" s="38"/>
      <c r="AF966" s="38"/>
      <c r="AG966" s="38"/>
      <c r="AH966" s="38"/>
      <c r="AI966" s="38"/>
      <c r="AJ966" s="38"/>
      <c r="AK966" s="38"/>
    </row>
    <row r="967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  <c r="AB967" s="38"/>
      <c r="AC967" s="38"/>
      <c r="AD967" s="38"/>
      <c r="AE967" s="38"/>
      <c r="AF967" s="38"/>
      <c r="AG967" s="38"/>
      <c r="AH967" s="38"/>
      <c r="AI967" s="38"/>
      <c r="AJ967" s="38"/>
      <c r="AK967" s="38"/>
    </row>
    <row r="968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  <c r="AB968" s="38"/>
      <c r="AC968" s="38"/>
      <c r="AD968" s="38"/>
      <c r="AE968" s="38"/>
      <c r="AF968" s="38"/>
      <c r="AG968" s="38"/>
      <c r="AH968" s="38"/>
      <c r="AI968" s="38"/>
      <c r="AJ968" s="38"/>
      <c r="AK968" s="38"/>
    </row>
    <row r="969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  <c r="AB969" s="38"/>
      <c r="AC969" s="38"/>
      <c r="AD969" s="38"/>
      <c r="AE969" s="38"/>
      <c r="AF969" s="38"/>
      <c r="AG969" s="38"/>
      <c r="AH969" s="38"/>
      <c r="AI969" s="38"/>
      <c r="AJ969" s="38"/>
      <c r="AK969" s="38"/>
    </row>
    <row r="970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  <c r="AB970" s="38"/>
      <c r="AC970" s="38"/>
      <c r="AD970" s="38"/>
      <c r="AE970" s="38"/>
      <c r="AF970" s="38"/>
      <c r="AG970" s="38"/>
      <c r="AH970" s="38"/>
      <c r="AI970" s="38"/>
      <c r="AJ970" s="38"/>
      <c r="AK970" s="38"/>
    </row>
    <row r="97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  <c r="AB971" s="38"/>
      <c r="AC971" s="38"/>
      <c r="AD971" s="38"/>
      <c r="AE971" s="38"/>
      <c r="AF971" s="38"/>
      <c r="AG971" s="38"/>
      <c r="AH971" s="38"/>
      <c r="AI971" s="38"/>
      <c r="AJ971" s="38"/>
      <c r="AK971" s="38"/>
    </row>
    <row r="972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  <c r="AB972" s="38"/>
      <c r="AC972" s="38"/>
      <c r="AD972" s="38"/>
      <c r="AE972" s="38"/>
      <c r="AF972" s="38"/>
      <c r="AG972" s="38"/>
      <c r="AH972" s="38"/>
      <c r="AI972" s="38"/>
      <c r="AJ972" s="38"/>
      <c r="AK972" s="38"/>
    </row>
    <row r="973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  <c r="AB973" s="38"/>
      <c r="AC973" s="38"/>
      <c r="AD973" s="38"/>
      <c r="AE973" s="38"/>
      <c r="AF973" s="38"/>
      <c r="AG973" s="38"/>
      <c r="AH973" s="38"/>
      <c r="AI973" s="38"/>
      <c r="AJ973" s="38"/>
      <c r="AK973" s="38"/>
    </row>
    <row r="974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  <c r="AB974" s="38"/>
      <c r="AC974" s="38"/>
      <c r="AD974" s="38"/>
      <c r="AE974" s="38"/>
      <c r="AF974" s="38"/>
      <c r="AG974" s="38"/>
      <c r="AH974" s="38"/>
      <c r="AI974" s="38"/>
      <c r="AJ974" s="38"/>
      <c r="AK974" s="38"/>
    </row>
    <row r="975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  <c r="AB975" s="38"/>
      <c r="AC975" s="38"/>
      <c r="AD975" s="38"/>
      <c r="AE975" s="38"/>
      <c r="AF975" s="38"/>
      <c r="AG975" s="38"/>
      <c r="AH975" s="38"/>
      <c r="AI975" s="38"/>
      <c r="AJ975" s="38"/>
      <c r="AK975" s="38"/>
    </row>
    <row r="976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  <c r="AB976" s="38"/>
      <c r="AC976" s="38"/>
      <c r="AD976" s="38"/>
      <c r="AE976" s="38"/>
      <c r="AF976" s="38"/>
      <c r="AG976" s="38"/>
      <c r="AH976" s="38"/>
      <c r="AI976" s="38"/>
      <c r="AJ976" s="38"/>
      <c r="AK976" s="38"/>
    </row>
    <row r="977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  <c r="AB977" s="38"/>
      <c r="AC977" s="38"/>
      <c r="AD977" s="38"/>
      <c r="AE977" s="38"/>
      <c r="AF977" s="38"/>
      <c r="AG977" s="38"/>
      <c r="AH977" s="38"/>
      <c r="AI977" s="38"/>
      <c r="AJ977" s="38"/>
      <c r="AK977" s="38"/>
    </row>
    <row r="978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38"/>
      <c r="AB978" s="38"/>
      <c r="AC978" s="38"/>
      <c r="AD978" s="38"/>
      <c r="AE978" s="38"/>
      <c r="AF978" s="38"/>
      <c r="AG978" s="38"/>
      <c r="AH978" s="38"/>
      <c r="AI978" s="38"/>
      <c r="AJ978" s="38"/>
      <c r="AK978" s="38"/>
    </row>
    <row r="979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  <c r="AB979" s="38"/>
      <c r="AC979" s="38"/>
      <c r="AD979" s="38"/>
      <c r="AE979" s="38"/>
      <c r="AF979" s="38"/>
      <c r="AG979" s="38"/>
      <c r="AH979" s="38"/>
      <c r="AI979" s="38"/>
      <c r="AJ979" s="38"/>
      <c r="AK979" s="38"/>
    </row>
    <row r="980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  <c r="AB980" s="38"/>
      <c r="AC980" s="38"/>
      <c r="AD980" s="38"/>
      <c r="AE980" s="38"/>
      <c r="AF980" s="38"/>
      <c r="AG980" s="38"/>
      <c r="AH980" s="38"/>
      <c r="AI980" s="38"/>
      <c r="AJ980" s="38"/>
      <c r="AK980" s="38"/>
    </row>
    <row r="98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  <c r="AB981" s="38"/>
      <c r="AC981" s="38"/>
      <c r="AD981" s="38"/>
      <c r="AE981" s="38"/>
      <c r="AF981" s="38"/>
      <c r="AG981" s="38"/>
      <c r="AH981" s="38"/>
      <c r="AI981" s="38"/>
      <c r="AJ981" s="38"/>
      <c r="AK981" s="38"/>
    </row>
    <row r="982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38"/>
      <c r="AB982" s="38"/>
      <c r="AC982" s="38"/>
      <c r="AD982" s="38"/>
      <c r="AE982" s="38"/>
      <c r="AF982" s="38"/>
      <c r="AG982" s="38"/>
      <c r="AH982" s="38"/>
      <c r="AI982" s="38"/>
      <c r="AJ982" s="38"/>
      <c r="AK982" s="38"/>
    </row>
    <row r="983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  <c r="AB983" s="38"/>
      <c r="AC983" s="38"/>
      <c r="AD983" s="38"/>
      <c r="AE983" s="38"/>
      <c r="AF983" s="38"/>
      <c r="AG983" s="38"/>
      <c r="AH983" s="38"/>
      <c r="AI983" s="38"/>
      <c r="AJ983" s="38"/>
      <c r="AK983" s="38"/>
    </row>
    <row r="984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  <c r="AA984" s="38"/>
      <c r="AB984" s="38"/>
      <c r="AC984" s="38"/>
      <c r="AD984" s="38"/>
      <c r="AE984" s="38"/>
      <c r="AF984" s="38"/>
      <c r="AG984" s="38"/>
      <c r="AH984" s="38"/>
      <c r="AI984" s="38"/>
      <c r="AJ984" s="38"/>
      <c r="AK984" s="38"/>
    </row>
    <row r="985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38"/>
      <c r="AB985" s="38"/>
      <c r="AC985" s="38"/>
      <c r="AD985" s="38"/>
      <c r="AE985" s="38"/>
      <c r="AF985" s="38"/>
      <c r="AG985" s="38"/>
      <c r="AH985" s="38"/>
      <c r="AI985" s="38"/>
      <c r="AJ985" s="38"/>
      <c r="AK985" s="38"/>
    </row>
    <row r="986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  <c r="AA986" s="38"/>
      <c r="AB986" s="38"/>
      <c r="AC986" s="38"/>
      <c r="AD986" s="38"/>
      <c r="AE986" s="38"/>
      <c r="AF986" s="38"/>
      <c r="AG986" s="38"/>
      <c r="AH986" s="38"/>
      <c r="AI986" s="38"/>
      <c r="AJ986" s="38"/>
      <c r="AK986" s="38"/>
    </row>
    <row r="987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38"/>
      <c r="AB987" s="38"/>
      <c r="AC987" s="38"/>
      <c r="AD987" s="38"/>
      <c r="AE987" s="38"/>
      <c r="AF987" s="38"/>
      <c r="AG987" s="38"/>
      <c r="AH987" s="38"/>
      <c r="AI987" s="38"/>
      <c r="AJ987" s="38"/>
      <c r="AK987" s="38"/>
    </row>
    <row r="988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  <c r="AB988" s="38"/>
      <c r="AC988" s="38"/>
      <c r="AD988" s="38"/>
      <c r="AE988" s="38"/>
      <c r="AF988" s="38"/>
      <c r="AG988" s="38"/>
      <c r="AH988" s="38"/>
      <c r="AI988" s="38"/>
      <c r="AJ988" s="38"/>
      <c r="AK988" s="38"/>
    </row>
    <row r="989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  <c r="AB989" s="38"/>
      <c r="AC989" s="38"/>
      <c r="AD989" s="38"/>
      <c r="AE989" s="38"/>
      <c r="AF989" s="38"/>
      <c r="AG989" s="38"/>
      <c r="AH989" s="38"/>
      <c r="AI989" s="38"/>
      <c r="AJ989" s="38"/>
      <c r="AK989" s="38"/>
    </row>
    <row r="990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38"/>
      <c r="AB990" s="38"/>
      <c r="AC990" s="38"/>
      <c r="AD990" s="38"/>
      <c r="AE990" s="38"/>
      <c r="AF990" s="38"/>
      <c r="AG990" s="38"/>
      <c r="AH990" s="38"/>
      <c r="AI990" s="38"/>
      <c r="AJ990" s="38"/>
      <c r="AK990" s="38"/>
    </row>
    <row r="99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  <c r="AB991" s="38"/>
      <c r="AC991" s="38"/>
      <c r="AD991" s="38"/>
      <c r="AE991" s="38"/>
      <c r="AF991" s="38"/>
      <c r="AG991" s="38"/>
      <c r="AH991" s="38"/>
      <c r="AI991" s="38"/>
      <c r="AJ991" s="38"/>
      <c r="AK991" s="38"/>
    </row>
    <row r="992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  <c r="AA992" s="38"/>
      <c r="AB992" s="38"/>
      <c r="AC992" s="38"/>
      <c r="AD992" s="38"/>
      <c r="AE992" s="38"/>
      <c r="AF992" s="38"/>
      <c r="AG992" s="38"/>
      <c r="AH992" s="38"/>
      <c r="AI992" s="38"/>
      <c r="AJ992" s="38"/>
      <c r="AK992" s="38"/>
    </row>
    <row r="993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  <c r="AB993" s="38"/>
      <c r="AC993" s="38"/>
      <c r="AD993" s="38"/>
      <c r="AE993" s="38"/>
      <c r="AF993" s="38"/>
      <c r="AG993" s="38"/>
      <c r="AH993" s="38"/>
      <c r="AI993" s="38"/>
      <c r="AJ993" s="38"/>
      <c r="AK993" s="38"/>
    </row>
    <row r="994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38"/>
      <c r="AB994" s="38"/>
      <c r="AC994" s="38"/>
      <c r="AD994" s="38"/>
      <c r="AE994" s="38"/>
      <c r="AF994" s="38"/>
      <c r="AG994" s="38"/>
      <c r="AH994" s="38"/>
      <c r="AI994" s="38"/>
      <c r="AJ994" s="38"/>
      <c r="AK994" s="38"/>
    </row>
    <row r="995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  <c r="AB995" s="38"/>
      <c r="AC995" s="38"/>
      <c r="AD995" s="38"/>
      <c r="AE995" s="38"/>
      <c r="AF995" s="38"/>
      <c r="AG995" s="38"/>
      <c r="AH995" s="38"/>
      <c r="AI995" s="38"/>
      <c r="AJ995" s="38"/>
      <c r="AK995" s="38"/>
    </row>
    <row r="996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  <c r="AA996" s="38"/>
      <c r="AB996" s="38"/>
      <c r="AC996" s="38"/>
      <c r="AD996" s="38"/>
      <c r="AE996" s="38"/>
      <c r="AF996" s="38"/>
      <c r="AG996" s="38"/>
      <c r="AH996" s="38"/>
      <c r="AI996" s="38"/>
      <c r="AJ996" s="38"/>
      <c r="AK996" s="38"/>
    </row>
    <row r="997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  <c r="AA997" s="38"/>
      <c r="AB997" s="38"/>
      <c r="AC997" s="38"/>
      <c r="AD997" s="38"/>
      <c r="AE997" s="38"/>
      <c r="AF997" s="38"/>
      <c r="AG997" s="38"/>
      <c r="AH997" s="38"/>
      <c r="AI997" s="38"/>
      <c r="AJ997" s="38"/>
      <c r="AK997" s="38"/>
    </row>
    <row r="998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  <c r="AA998" s="38"/>
      <c r="AB998" s="38"/>
      <c r="AC998" s="38"/>
      <c r="AD998" s="38"/>
      <c r="AE998" s="38"/>
      <c r="AF998" s="38"/>
      <c r="AG998" s="38"/>
      <c r="AH998" s="38"/>
      <c r="AI998" s="38"/>
      <c r="AJ998" s="38"/>
      <c r="AK998" s="38"/>
    </row>
    <row r="999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  <c r="AA999" s="38"/>
      <c r="AB999" s="38"/>
      <c r="AC999" s="38"/>
      <c r="AD999" s="38"/>
      <c r="AE999" s="38"/>
      <c r="AF999" s="38"/>
      <c r="AG999" s="38"/>
      <c r="AH999" s="38"/>
      <c r="AI999" s="38"/>
      <c r="AJ999" s="38"/>
      <c r="AK999" s="38"/>
    </row>
    <row r="1000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  <c r="AA1000" s="38"/>
      <c r="AB1000" s="38"/>
      <c r="AC1000" s="38"/>
      <c r="AD1000" s="38"/>
      <c r="AE1000" s="38"/>
      <c r="AF1000" s="38"/>
      <c r="AG1000" s="38"/>
      <c r="AH1000" s="38"/>
      <c r="AI1000" s="38"/>
      <c r="AJ1000" s="38"/>
      <c r="AK1000" s="38"/>
    </row>
    <row r="1001">
      <c r="A1001" s="38"/>
      <c r="B1001" s="38"/>
      <c r="C1001" s="38"/>
      <c r="D1001" s="38"/>
      <c r="E1001" s="38"/>
      <c r="F1001" s="38"/>
      <c r="G1001" s="38"/>
      <c r="H1001" s="38"/>
      <c r="I1001" s="38"/>
      <c r="J1001" s="38"/>
      <c r="K1001" s="38"/>
      <c r="L1001" s="38"/>
      <c r="M1001" s="38"/>
      <c r="N1001" s="38"/>
      <c r="O1001" s="38"/>
      <c r="P1001" s="38"/>
      <c r="Q1001" s="38"/>
      <c r="R1001" s="38"/>
      <c r="S1001" s="38"/>
      <c r="T1001" s="38"/>
      <c r="U1001" s="38"/>
      <c r="V1001" s="38"/>
      <c r="W1001" s="38"/>
      <c r="X1001" s="38"/>
      <c r="Y1001" s="38"/>
      <c r="Z1001" s="38"/>
      <c r="AA1001" s="38"/>
      <c r="AB1001" s="38"/>
      <c r="AC1001" s="38"/>
      <c r="AD1001" s="38"/>
      <c r="AE1001" s="38"/>
      <c r="AF1001" s="38"/>
      <c r="AG1001" s="38"/>
      <c r="AH1001" s="38"/>
      <c r="AI1001" s="38"/>
      <c r="AJ1001" s="38"/>
      <c r="AK1001" s="38"/>
    </row>
    <row r="1002">
      <c r="A1002" s="38"/>
      <c r="B1002" s="38"/>
      <c r="C1002" s="38"/>
      <c r="D1002" s="38"/>
      <c r="E1002" s="38"/>
      <c r="F1002" s="38"/>
      <c r="G1002" s="38"/>
      <c r="H1002" s="38"/>
      <c r="I1002" s="38"/>
      <c r="J1002" s="38"/>
      <c r="K1002" s="38"/>
      <c r="L1002" s="38"/>
      <c r="M1002" s="38"/>
      <c r="N1002" s="38"/>
      <c r="O1002" s="38"/>
      <c r="P1002" s="38"/>
      <c r="Q1002" s="38"/>
      <c r="R1002" s="38"/>
      <c r="S1002" s="38"/>
      <c r="T1002" s="38"/>
      <c r="U1002" s="38"/>
      <c r="V1002" s="38"/>
      <c r="W1002" s="38"/>
      <c r="X1002" s="38"/>
      <c r="Y1002" s="38"/>
      <c r="Z1002" s="38"/>
      <c r="AA1002" s="38"/>
      <c r="AB1002" s="38"/>
      <c r="AC1002" s="38"/>
      <c r="AD1002" s="38"/>
      <c r="AE1002" s="38"/>
      <c r="AF1002" s="38"/>
      <c r="AG1002" s="38"/>
      <c r="AH1002" s="38"/>
      <c r="AI1002" s="38"/>
      <c r="AJ1002" s="38"/>
      <c r="AK1002" s="38"/>
    </row>
    <row r="1003">
      <c r="A1003" s="38"/>
      <c r="B1003" s="38"/>
      <c r="C1003" s="38"/>
      <c r="D1003" s="38"/>
      <c r="E1003" s="38"/>
      <c r="F1003" s="38"/>
      <c r="G1003" s="38"/>
      <c r="H1003" s="38"/>
      <c r="I1003" s="38"/>
      <c r="J1003" s="38"/>
      <c r="K1003" s="38"/>
      <c r="L1003" s="38"/>
      <c r="M1003" s="38"/>
      <c r="N1003" s="38"/>
      <c r="O1003" s="38"/>
      <c r="P1003" s="38"/>
      <c r="Q1003" s="38"/>
      <c r="R1003" s="38"/>
      <c r="S1003" s="38"/>
      <c r="T1003" s="38"/>
      <c r="U1003" s="38"/>
      <c r="V1003" s="38"/>
      <c r="W1003" s="38"/>
      <c r="X1003" s="38"/>
      <c r="Y1003" s="38"/>
      <c r="Z1003" s="38"/>
      <c r="AA1003" s="38"/>
      <c r="AB1003" s="38"/>
      <c r="AC1003" s="38"/>
      <c r="AD1003" s="38"/>
      <c r="AE1003" s="38"/>
      <c r="AF1003" s="38"/>
      <c r="AG1003" s="38"/>
      <c r="AH1003" s="38"/>
      <c r="AI1003" s="38"/>
      <c r="AJ1003" s="38"/>
      <c r="AK1003" s="38"/>
    </row>
    <row r="1004">
      <c r="A1004" s="38"/>
      <c r="B1004" s="38"/>
      <c r="C1004" s="38"/>
      <c r="D1004" s="38"/>
      <c r="E1004" s="38"/>
      <c r="F1004" s="38"/>
      <c r="G1004" s="38"/>
      <c r="H1004" s="38"/>
      <c r="I1004" s="38"/>
      <c r="J1004" s="38"/>
      <c r="K1004" s="38"/>
      <c r="L1004" s="38"/>
      <c r="M1004" s="38"/>
      <c r="N1004" s="38"/>
      <c r="O1004" s="38"/>
      <c r="P1004" s="38"/>
      <c r="Q1004" s="38"/>
      <c r="R1004" s="38"/>
      <c r="S1004" s="38"/>
      <c r="T1004" s="38"/>
      <c r="U1004" s="38"/>
      <c r="V1004" s="38"/>
      <c r="W1004" s="38"/>
      <c r="X1004" s="38"/>
      <c r="Y1004" s="38"/>
      <c r="Z1004" s="38"/>
      <c r="AA1004" s="38"/>
      <c r="AB1004" s="38"/>
      <c r="AC1004" s="38"/>
      <c r="AD1004" s="38"/>
      <c r="AE1004" s="38"/>
      <c r="AF1004" s="38"/>
      <c r="AG1004" s="38"/>
      <c r="AH1004" s="38"/>
      <c r="AI1004" s="38"/>
      <c r="AJ1004" s="38"/>
      <c r="AK1004" s="38"/>
    </row>
    <row r="1005">
      <c r="A1005" s="38"/>
      <c r="B1005" s="38"/>
      <c r="C1005" s="38"/>
      <c r="D1005" s="38"/>
      <c r="E1005" s="38"/>
      <c r="F1005" s="38"/>
      <c r="G1005" s="38"/>
      <c r="H1005" s="38"/>
      <c r="I1005" s="38"/>
      <c r="J1005" s="38"/>
      <c r="K1005" s="38"/>
      <c r="L1005" s="38"/>
      <c r="M1005" s="38"/>
      <c r="N1005" s="38"/>
      <c r="O1005" s="38"/>
      <c r="P1005" s="38"/>
      <c r="Q1005" s="38"/>
      <c r="R1005" s="38"/>
      <c r="S1005" s="38"/>
      <c r="T1005" s="38"/>
      <c r="U1005" s="38"/>
      <c r="V1005" s="38"/>
      <c r="W1005" s="38"/>
      <c r="X1005" s="38"/>
      <c r="Y1005" s="38"/>
      <c r="Z1005" s="38"/>
      <c r="AA1005" s="38"/>
      <c r="AB1005" s="38"/>
      <c r="AC1005" s="38"/>
      <c r="AD1005" s="38"/>
      <c r="AE1005" s="38"/>
      <c r="AF1005" s="38"/>
      <c r="AG1005" s="38"/>
      <c r="AH1005" s="38"/>
      <c r="AI1005" s="38"/>
      <c r="AJ1005" s="38"/>
      <c r="AK1005" s="38"/>
    </row>
    <row r="1006">
      <c r="A1006" s="38"/>
      <c r="B1006" s="38"/>
      <c r="C1006" s="38"/>
      <c r="D1006" s="38"/>
      <c r="E1006" s="38"/>
      <c r="F1006" s="38"/>
      <c r="G1006" s="38"/>
      <c r="H1006" s="38"/>
      <c r="I1006" s="38"/>
      <c r="J1006" s="38"/>
      <c r="K1006" s="38"/>
      <c r="L1006" s="38"/>
      <c r="M1006" s="38"/>
      <c r="N1006" s="38"/>
      <c r="O1006" s="38"/>
      <c r="P1006" s="38"/>
      <c r="Q1006" s="38"/>
      <c r="R1006" s="38"/>
      <c r="S1006" s="38"/>
      <c r="T1006" s="38"/>
      <c r="U1006" s="38"/>
      <c r="V1006" s="38"/>
      <c r="W1006" s="38"/>
      <c r="X1006" s="38"/>
      <c r="Y1006" s="38"/>
      <c r="Z1006" s="38"/>
      <c r="AA1006" s="38"/>
      <c r="AB1006" s="38"/>
      <c r="AC1006" s="38"/>
      <c r="AD1006" s="38"/>
      <c r="AE1006" s="38"/>
      <c r="AF1006" s="38"/>
      <c r="AG1006" s="38"/>
      <c r="AH1006" s="38"/>
      <c r="AI1006" s="38"/>
      <c r="AJ1006" s="38"/>
      <c r="AK1006" s="38"/>
    </row>
    <row r="1007">
      <c r="A1007" s="38"/>
      <c r="B1007" s="38"/>
      <c r="C1007" s="38"/>
      <c r="D1007" s="38"/>
      <c r="E1007" s="38"/>
      <c r="F1007" s="38"/>
      <c r="G1007" s="38"/>
      <c r="H1007" s="38"/>
      <c r="I1007" s="38"/>
      <c r="J1007" s="38"/>
      <c r="K1007" s="38"/>
      <c r="L1007" s="38"/>
      <c r="M1007" s="38"/>
      <c r="N1007" s="38"/>
      <c r="O1007" s="38"/>
      <c r="P1007" s="38"/>
      <c r="Q1007" s="38"/>
      <c r="R1007" s="38"/>
      <c r="S1007" s="38"/>
      <c r="T1007" s="38"/>
      <c r="U1007" s="38"/>
      <c r="V1007" s="38"/>
      <c r="W1007" s="38"/>
      <c r="X1007" s="38"/>
      <c r="Y1007" s="38"/>
      <c r="Z1007" s="38"/>
      <c r="AA1007" s="38"/>
      <c r="AB1007" s="38"/>
      <c r="AC1007" s="38"/>
      <c r="AD1007" s="38"/>
      <c r="AE1007" s="38"/>
      <c r="AF1007" s="38"/>
      <c r="AG1007" s="38"/>
      <c r="AH1007" s="38"/>
      <c r="AI1007" s="38"/>
      <c r="AJ1007" s="38"/>
      <c r="AK1007" s="38"/>
    </row>
    <row r="1008">
      <c r="A1008" s="38"/>
      <c r="B1008" s="38"/>
      <c r="C1008" s="38"/>
      <c r="D1008" s="38"/>
      <c r="E1008" s="38"/>
      <c r="F1008" s="38"/>
      <c r="G1008" s="38"/>
      <c r="H1008" s="38"/>
      <c r="I1008" s="38"/>
      <c r="J1008" s="38"/>
      <c r="K1008" s="38"/>
      <c r="L1008" s="38"/>
      <c r="M1008" s="38"/>
      <c r="N1008" s="38"/>
      <c r="O1008" s="38"/>
      <c r="P1008" s="38"/>
      <c r="Q1008" s="38"/>
      <c r="R1008" s="38"/>
      <c r="S1008" s="38"/>
      <c r="T1008" s="38"/>
      <c r="U1008" s="38"/>
      <c r="V1008" s="38"/>
      <c r="W1008" s="38"/>
      <c r="X1008" s="38"/>
      <c r="Y1008" s="38"/>
      <c r="Z1008" s="38"/>
      <c r="AA1008" s="38"/>
      <c r="AB1008" s="38"/>
      <c r="AC1008" s="38"/>
      <c r="AD1008" s="38"/>
      <c r="AE1008" s="38"/>
      <c r="AF1008" s="38"/>
      <c r="AG1008" s="38"/>
      <c r="AH1008" s="38"/>
      <c r="AI1008" s="38"/>
      <c r="AJ1008" s="38"/>
      <c r="AK1008" s="38"/>
    </row>
    <row r="1009">
      <c r="A1009" s="38"/>
      <c r="B1009" s="38"/>
      <c r="C1009" s="38"/>
      <c r="D1009" s="38"/>
      <c r="E1009" s="38"/>
      <c r="F1009" s="38"/>
      <c r="G1009" s="38"/>
      <c r="H1009" s="38"/>
      <c r="I1009" s="38"/>
      <c r="J1009" s="38"/>
      <c r="K1009" s="38"/>
      <c r="L1009" s="38"/>
      <c r="M1009" s="38"/>
      <c r="N1009" s="38"/>
      <c r="O1009" s="38"/>
      <c r="P1009" s="38"/>
      <c r="Q1009" s="38"/>
      <c r="R1009" s="38"/>
      <c r="S1009" s="38"/>
      <c r="T1009" s="38"/>
      <c r="U1009" s="38"/>
      <c r="V1009" s="38"/>
      <c r="W1009" s="38"/>
      <c r="X1009" s="38"/>
      <c r="Y1009" s="38"/>
      <c r="Z1009" s="38"/>
      <c r="AA1009" s="38"/>
      <c r="AB1009" s="38"/>
      <c r="AC1009" s="38"/>
      <c r="AD1009" s="38"/>
      <c r="AE1009" s="38"/>
      <c r="AF1009" s="38"/>
      <c r="AG1009" s="38"/>
      <c r="AH1009" s="38"/>
      <c r="AI1009" s="38"/>
      <c r="AJ1009" s="38"/>
      <c r="AK1009" s="38"/>
    </row>
    <row r="1010">
      <c r="A1010" s="38"/>
      <c r="B1010" s="38"/>
      <c r="C1010" s="38"/>
      <c r="D1010" s="38"/>
      <c r="E1010" s="38"/>
      <c r="F1010" s="38"/>
      <c r="G1010" s="38"/>
      <c r="H1010" s="38"/>
      <c r="I1010" s="38"/>
      <c r="J1010" s="38"/>
      <c r="K1010" s="38"/>
      <c r="L1010" s="38"/>
      <c r="M1010" s="38"/>
      <c r="N1010" s="38"/>
      <c r="O1010" s="38"/>
      <c r="P1010" s="38"/>
      <c r="Q1010" s="38"/>
      <c r="R1010" s="38"/>
      <c r="S1010" s="38"/>
      <c r="T1010" s="38"/>
      <c r="U1010" s="38"/>
      <c r="V1010" s="38"/>
      <c r="W1010" s="38"/>
      <c r="X1010" s="38"/>
      <c r="Y1010" s="38"/>
      <c r="Z1010" s="38"/>
      <c r="AA1010" s="38"/>
      <c r="AB1010" s="38"/>
      <c r="AC1010" s="38"/>
      <c r="AD1010" s="38"/>
      <c r="AE1010" s="38"/>
      <c r="AF1010" s="38"/>
      <c r="AG1010" s="38"/>
      <c r="AH1010" s="38"/>
      <c r="AI1010" s="38"/>
      <c r="AJ1010" s="38"/>
      <c r="AK1010" s="38"/>
    </row>
    <row r="1011">
      <c r="A1011" s="38"/>
      <c r="B1011" s="38"/>
      <c r="C1011" s="38"/>
      <c r="D1011" s="38"/>
      <c r="E1011" s="38"/>
      <c r="F1011" s="38"/>
      <c r="G1011" s="38"/>
      <c r="H1011" s="38"/>
      <c r="I1011" s="38"/>
      <c r="J1011" s="38"/>
      <c r="K1011" s="38"/>
      <c r="L1011" s="38"/>
      <c r="M1011" s="38"/>
      <c r="N1011" s="38"/>
      <c r="O1011" s="38"/>
      <c r="P1011" s="38"/>
      <c r="Q1011" s="38"/>
      <c r="R1011" s="38"/>
      <c r="S1011" s="38"/>
      <c r="T1011" s="38"/>
      <c r="U1011" s="38"/>
      <c r="V1011" s="38"/>
      <c r="W1011" s="38"/>
      <c r="X1011" s="38"/>
      <c r="Y1011" s="38"/>
      <c r="Z1011" s="38"/>
      <c r="AA1011" s="38"/>
      <c r="AB1011" s="38"/>
      <c r="AC1011" s="38"/>
      <c r="AD1011" s="38"/>
      <c r="AE1011" s="38"/>
      <c r="AF1011" s="38"/>
      <c r="AG1011" s="38"/>
      <c r="AH1011" s="38"/>
      <c r="AI1011" s="38"/>
      <c r="AJ1011" s="38"/>
      <c r="AK1011" s="38"/>
    </row>
    <row r="1012">
      <c r="A1012" s="38"/>
      <c r="B1012" s="38"/>
      <c r="C1012" s="38"/>
      <c r="D1012" s="38"/>
      <c r="E1012" s="38"/>
      <c r="F1012" s="38"/>
      <c r="G1012" s="38"/>
      <c r="H1012" s="38"/>
      <c r="I1012" s="38"/>
      <c r="J1012" s="38"/>
      <c r="K1012" s="38"/>
      <c r="L1012" s="38"/>
      <c r="M1012" s="38"/>
      <c r="N1012" s="38"/>
      <c r="O1012" s="38"/>
      <c r="P1012" s="38"/>
      <c r="Q1012" s="38"/>
      <c r="R1012" s="38"/>
      <c r="S1012" s="38"/>
      <c r="T1012" s="38"/>
      <c r="U1012" s="38"/>
      <c r="V1012" s="38"/>
      <c r="W1012" s="38"/>
      <c r="X1012" s="38"/>
      <c r="Y1012" s="38"/>
      <c r="Z1012" s="38"/>
      <c r="AA1012" s="38"/>
      <c r="AB1012" s="38"/>
      <c r="AC1012" s="38"/>
      <c r="AD1012" s="38"/>
      <c r="AE1012" s="38"/>
      <c r="AF1012" s="38"/>
      <c r="AG1012" s="38"/>
      <c r="AH1012" s="38"/>
      <c r="AI1012" s="38"/>
      <c r="AJ1012" s="38"/>
      <c r="AK1012" s="38"/>
    </row>
    <row r="1013">
      <c r="A1013" s="38"/>
      <c r="B1013" s="38"/>
      <c r="C1013" s="38"/>
      <c r="D1013" s="38"/>
      <c r="E1013" s="38"/>
      <c r="F1013" s="38"/>
      <c r="G1013" s="38"/>
      <c r="H1013" s="38"/>
      <c r="I1013" s="38"/>
      <c r="J1013" s="38"/>
      <c r="K1013" s="38"/>
      <c r="L1013" s="38"/>
      <c r="M1013" s="38"/>
      <c r="N1013" s="38"/>
      <c r="O1013" s="38"/>
      <c r="P1013" s="38"/>
      <c r="Q1013" s="38"/>
      <c r="R1013" s="38"/>
      <c r="S1013" s="38"/>
      <c r="T1013" s="38"/>
      <c r="U1013" s="38"/>
      <c r="V1013" s="38"/>
      <c r="W1013" s="38"/>
      <c r="X1013" s="38"/>
      <c r="Y1013" s="38"/>
      <c r="Z1013" s="38"/>
      <c r="AA1013" s="38"/>
      <c r="AB1013" s="38"/>
      <c r="AC1013" s="38"/>
      <c r="AD1013" s="38"/>
      <c r="AE1013" s="38"/>
      <c r="AF1013" s="38"/>
      <c r="AG1013" s="38"/>
      <c r="AH1013" s="38"/>
      <c r="AI1013" s="38"/>
      <c r="AJ1013" s="38"/>
      <c r="AK1013" s="38"/>
    </row>
    <row r="1014">
      <c r="A1014" s="38"/>
      <c r="B1014" s="38"/>
      <c r="C1014" s="38"/>
      <c r="D1014" s="38"/>
      <c r="E1014" s="38"/>
      <c r="F1014" s="38"/>
      <c r="G1014" s="38"/>
      <c r="H1014" s="38"/>
      <c r="I1014" s="38"/>
      <c r="J1014" s="38"/>
      <c r="K1014" s="38"/>
      <c r="L1014" s="38"/>
      <c r="M1014" s="38"/>
      <c r="N1014" s="38"/>
      <c r="O1014" s="38"/>
      <c r="P1014" s="38"/>
      <c r="Q1014" s="38"/>
      <c r="R1014" s="38"/>
      <c r="S1014" s="38"/>
      <c r="T1014" s="38"/>
      <c r="U1014" s="38"/>
      <c r="V1014" s="38"/>
      <c r="W1014" s="38"/>
      <c r="X1014" s="38"/>
      <c r="Y1014" s="38"/>
      <c r="Z1014" s="38"/>
      <c r="AA1014" s="38"/>
      <c r="AB1014" s="38"/>
      <c r="AC1014" s="38"/>
      <c r="AD1014" s="38"/>
      <c r="AE1014" s="38"/>
      <c r="AF1014" s="38"/>
      <c r="AG1014" s="38"/>
      <c r="AH1014" s="38"/>
      <c r="AI1014" s="38"/>
      <c r="AJ1014" s="38"/>
      <c r="AK1014" s="38"/>
    </row>
    <row r="1015">
      <c r="A1015" s="38"/>
      <c r="B1015" s="38"/>
      <c r="C1015" s="38"/>
      <c r="D1015" s="38"/>
      <c r="E1015" s="38"/>
      <c r="F1015" s="38"/>
      <c r="G1015" s="38"/>
      <c r="H1015" s="38"/>
      <c r="I1015" s="38"/>
      <c r="J1015" s="38"/>
      <c r="K1015" s="38"/>
      <c r="L1015" s="38"/>
      <c r="M1015" s="38"/>
      <c r="N1015" s="38"/>
      <c r="O1015" s="38"/>
      <c r="P1015" s="38"/>
      <c r="Q1015" s="38"/>
      <c r="R1015" s="38"/>
      <c r="S1015" s="38"/>
      <c r="T1015" s="38"/>
      <c r="U1015" s="38"/>
      <c r="V1015" s="38"/>
      <c r="W1015" s="38"/>
      <c r="X1015" s="38"/>
      <c r="Y1015" s="38"/>
      <c r="Z1015" s="38"/>
      <c r="AA1015" s="38"/>
      <c r="AB1015" s="38"/>
      <c r="AC1015" s="38"/>
      <c r="AD1015" s="38"/>
      <c r="AE1015" s="38"/>
      <c r="AF1015" s="38"/>
      <c r="AG1015" s="38"/>
      <c r="AH1015" s="38"/>
      <c r="AI1015" s="38"/>
      <c r="AJ1015" s="38"/>
      <c r="AK1015" s="38"/>
    </row>
    <row r="1016">
      <c r="A1016" s="38"/>
      <c r="B1016" s="38"/>
      <c r="C1016" s="38"/>
      <c r="D1016" s="38"/>
      <c r="E1016" s="38"/>
      <c r="F1016" s="38"/>
      <c r="G1016" s="38"/>
      <c r="H1016" s="38"/>
      <c r="I1016" s="38"/>
      <c r="J1016" s="38"/>
      <c r="K1016" s="38"/>
      <c r="L1016" s="38"/>
      <c r="M1016" s="38"/>
      <c r="N1016" s="38"/>
      <c r="O1016" s="38"/>
      <c r="P1016" s="38"/>
      <c r="Q1016" s="38"/>
      <c r="R1016" s="38"/>
      <c r="S1016" s="38"/>
      <c r="T1016" s="38"/>
      <c r="U1016" s="38"/>
      <c r="V1016" s="38"/>
      <c r="W1016" s="38"/>
      <c r="X1016" s="38"/>
      <c r="Y1016" s="38"/>
      <c r="Z1016" s="38"/>
      <c r="AA1016" s="38"/>
      <c r="AB1016" s="38"/>
      <c r="AC1016" s="38"/>
      <c r="AD1016" s="38"/>
      <c r="AE1016" s="38"/>
      <c r="AF1016" s="38"/>
      <c r="AG1016" s="38"/>
      <c r="AH1016" s="38"/>
      <c r="AI1016" s="38"/>
      <c r="AJ1016" s="38"/>
      <c r="AK1016" s="38"/>
    </row>
    <row r="1017">
      <c r="A1017" s="38"/>
      <c r="B1017" s="38"/>
      <c r="C1017" s="38"/>
      <c r="D1017" s="38"/>
      <c r="E1017" s="38"/>
      <c r="F1017" s="38"/>
      <c r="G1017" s="38"/>
      <c r="H1017" s="38"/>
      <c r="I1017" s="38"/>
      <c r="J1017" s="38"/>
      <c r="K1017" s="38"/>
      <c r="L1017" s="38"/>
      <c r="M1017" s="38"/>
      <c r="N1017" s="38"/>
      <c r="O1017" s="38"/>
      <c r="P1017" s="38"/>
      <c r="Q1017" s="38"/>
      <c r="R1017" s="38"/>
      <c r="S1017" s="38"/>
      <c r="T1017" s="68"/>
      <c r="U1017" s="68"/>
      <c r="V1017" s="68"/>
      <c r="W1017" s="38"/>
      <c r="X1017" s="38"/>
      <c r="Y1017" s="38"/>
      <c r="Z1017" s="38"/>
      <c r="AA1017" s="38"/>
      <c r="AB1017" s="38"/>
      <c r="AC1017" s="38"/>
      <c r="AD1017" s="38"/>
      <c r="AE1017" s="38"/>
      <c r="AF1017" s="38"/>
      <c r="AG1017" s="38"/>
      <c r="AH1017" s="38"/>
      <c r="AI1017" s="38"/>
      <c r="AJ1017" s="38"/>
      <c r="AK1017" s="38"/>
    </row>
  </sheetData>
  <autoFilter ref="$A$1:$AK$121">
    <filterColumn colId="11">
      <filters>
        <filter val="Oczekuje"/>
        <filter val="W promocji"/>
      </filters>
    </filterColumn>
  </autoFilter>
  <dataValidations>
    <dataValidation type="list" allowBlank="1" showErrorMessage="1" sqref="L2:L121">
      <formula1>"Zrealizowane,W promocji,Oczekuje,wstrzymana"</formula1>
    </dataValidation>
    <dataValidation type="list" allowBlank="1" showErrorMessage="1" sqref="Y94 Y101 Y104:Y111 Y117:Y120">
      <formula1>"Karolina Grela,Paulina Gigoń,Joanna Jodełka,Emilia Karbowiecka"</formula1>
    </dataValidation>
    <dataValidation type="list" allowBlank="1" showErrorMessage="1" sqref="F2:F121">
      <formula1>"Konferencja,Webinar sponsorowany,Webinar remedium"</formula1>
    </dataValidation>
  </dataValidations>
  <hyperlinks>
    <hyperlink r:id="rId2" ref="B2"/>
    <hyperlink r:id="rId3" ref="W2"/>
    <hyperlink r:id="rId4" ref="W3"/>
    <hyperlink r:id="rId5" ref="W4"/>
    <hyperlink r:id="rId6" ref="W5"/>
    <hyperlink r:id="rId7" ref="W6"/>
    <hyperlink r:id="rId8" ref="W7"/>
    <hyperlink r:id="rId9" ref="W8"/>
    <hyperlink r:id="rId10" ref="W9"/>
    <hyperlink r:id="rId11" ref="W10"/>
    <hyperlink r:id="rId12" ref="W11"/>
    <hyperlink r:id="rId13" ref="W12"/>
    <hyperlink r:id="rId14" ref="W13"/>
    <hyperlink r:id="rId15" ref="W14"/>
    <hyperlink r:id="rId16" ref="W15"/>
    <hyperlink r:id="rId17" ref="W16"/>
    <hyperlink r:id="rId18" ref="W17"/>
    <hyperlink r:id="rId19" ref="W18"/>
    <hyperlink r:id="rId20" ref="W19"/>
    <hyperlink r:id="rId21" ref="W20"/>
    <hyperlink r:id="rId22" ref="W21"/>
    <hyperlink r:id="rId23" ref="W22"/>
    <hyperlink r:id="rId24" ref="W23"/>
    <hyperlink r:id="rId25" ref="W24"/>
    <hyperlink r:id="rId26" ref="W25"/>
    <hyperlink r:id="rId27" ref="W26"/>
    <hyperlink r:id="rId28" ref="W27"/>
    <hyperlink r:id="rId29" ref="W28"/>
    <hyperlink r:id="rId30" ref="W29"/>
    <hyperlink r:id="rId31" ref="W30"/>
    <hyperlink r:id="rId32" ref="W31"/>
    <hyperlink r:id="rId33" ref="W32"/>
    <hyperlink r:id="rId34" ref="W33"/>
    <hyperlink r:id="rId35" ref="W34"/>
    <hyperlink r:id="rId36" ref="W35"/>
    <hyperlink r:id="rId37" ref="W36"/>
    <hyperlink r:id="rId38" ref="W37"/>
    <hyperlink r:id="rId39" ref="W38"/>
    <hyperlink r:id="rId40" ref="B39"/>
    <hyperlink r:id="rId41" ref="W39"/>
    <hyperlink r:id="rId42" ref="B40"/>
    <hyperlink r:id="rId43" ref="W40"/>
    <hyperlink r:id="rId44" ref="B41"/>
    <hyperlink r:id="rId45" ref="W41"/>
    <hyperlink r:id="rId46" ref="B42"/>
    <hyperlink r:id="rId47" ref="W42"/>
    <hyperlink r:id="rId48" ref="W47"/>
    <hyperlink r:id="rId49" ref="W48"/>
    <hyperlink r:id="rId50" ref="B49"/>
    <hyperlink r:id="rId51" ref="W49"/>
    <hyperlink r:id="rId52" ref="B50"/>
    <hyperlink r:id="rId53" ref="W50"/>
    <hyperlink r:id="rId54" ref="W51"/>
    <hyperlink r:id="rId55" ref="W52"/>
    <hyperlink r:id="rId56" ref="W53"/>
    <hyperlink r:id="rId57" ref="W54"/>
    <hyperlink r:id="rId58" ref="W55"/>
    <hyperlink r:id="rId59" ref="B56"/>
    <hyperlink r:id="rId60" ref="W56"/>
    <hyperlink r:id="rId61" ref="B57"/>
    <hyperlink r:id="rId62" ref="W57"/>
    <hyperlink r:id="rId63" ref="W58"/>
    <hyperlink r:id="rId64" ref="W59"/>
    <hyperlink r:id="rId65" ref="W60"/>
    <hyperlink r:id="rId66" ref="W61"/>
    <hyperlink r:id="rId67" ref="W62"/>
    <hyperlink r:id="rId68" ref="W63"/>
    <hyperlink r:id="rId69" ref="B64"/>
    <hyperlink r:id="rId70" ref="W64"/>
    <hyperlink r:id="rId71" ref="W65"/>
    <hyperlink r:id="rId72" ref="W66"/>
    <hyperlink r:id="rId73" ref="W67"/>
    <hyperlink r:id="rId74" ref="B68"/>
    <hyperlink r:id="rId75" ref="W68"/>
    <hyperlink r:id="rId76" ref="B69"/>
    <hyperlink r:id="rId77" ref="W69"/>
    <hyperlink r:id="rId78" ref="W70"/>
    <hyperlink r:id="rId79" ref="B71"/>
    <hyperlink r:id="rId80" ref="W71"/>
    <hyperlink r:id="rId81" ref="W72"/>
    <hyperlink r:id="rId82" ref="W73"/>
    <hyperlink r:id="rId83" ref="W74"/>
    <hyperlink r:id="rId84" ref="W75"/>
    <hyperlink r:id="rId85" ref="W76"/>
    <hyperlink r:id="rId86" ref="W77"/>
    <hyperlink r:id="rId87" ref="W78"/>
    <hyperlink r:id="rId88" ref="W79"/>
    <hyperlink r:id="rId89" ref="W80"/>
    <hyperlink r:id="rId90" ref="W81"/>
    <hyperlink r:id="rId91" ref="W82"/>
    <hyperlink r:id="rId92" ref="W83"/>
    <hyperlink r:id="rId93" ref="W84"/>
    <hyperlink r:id="rId94" ref="W85"/>
    <hyperlink r:id="rId95" ref="W86"/>
    <hyperlink r:id="rId96" ref="W87"/>
    <hyperlink r:id="rId97" ref="W88"/>
    <hyperlink r:id="rId98" ref="W89"/>
    <hyperlink r:id="rId99" ref="W90"/>
    <hyperlink r:id="rId100" ref="W91"/>
    <hyperlink r:id="rId101" ref="W92"/>
    <hyperlink r:id="rId102" ref="W93"/>
    <hyperlink r:id="rId103" ref="W94"/>
    <hyperlink r:id="rId104" ref="W95"/>
    <hyperlink r:id="rId105" ref="W96"/>
    <hyperlink r:id="rId106" ref="W97"/>
    <hyperlink r:id="rId107" ref="W98"/>
    <hyperlink r:id="rId108" ref="W99"/>
    <hyperlink r:id="rId109" ref="W100"/>
    <hyperlink r:id="rId110" ref="W101"/>
    <hyperlink r:id="rId111" ref="W102"/>
    <hyperlink r:id="rId112" location="gid=0" ref="H103"/>
    <hyperlink r:id="rId113" ref="W103"/>
    <hyperlink r:id="rId114" ref="W104"/>
    <hyperlink r:id="rId115" ref="B105"/>
    <hyperlink r:id="rId116" ref="G105"/>
    <hyperlink r:id="rId117" ref="H105"/>
    <hyperlink r:id="rId118" ref="W105"/>
    <hyperlink r:id="rId119" ref="W106"/>
    <hyperlink r:id="rId120" ref="B107"/>
    <hyperlink r:id="rId121" location="gid=0" ref="H107"/>
    <hyperlink r:id="rId122" ref="W107"/>
    <hyperlink r:id="rId123" ref="W108"/>
    <hyperlink r:id="rId124" ref="B109"/>
    <hyperlink r:id="rId125" ref="G109"/>
    <hyperlink r:id="rId126" location="gid=0" ref="H109"/>
    <hyperlink r:id="rId127" ref="W109"/>
    <hyperlink r:id="rId128" ref="W110"/>
    <hyperlink r:id="rId129" ref="W111"/>
    <hyperlink r:id="rId130" ref="W112"/>
    <hyperlink r:id="rId131" ref="W113"/>
    <hyperlink r:id="rId132" ref="W114"/>
    <hyperlink r:id="rId133" ref="W115"/>
    <hyperlink r:id="rId134" ref="W116"/>
    <hyperlink r:id="rId135" ref="B117"/>
    <hyperlink r:id="rId136" ref="W117"/>
    <hyperlink r:id="rId137" ref="W118"/>
    <hyperlink r:id="rId138" ref="G120"/>
    <hyperlink r:id="rId139" ref="W120"/>
  </hyperlinks>
  <drawing r:id="rId140"/>
  <legacyDrawing r:id="rId14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315</v>
      </c>
      <c r="B1" s="8" t="s">
        <v>316</v>
      </c>
    </row>
    <row r="2">
      <c r="A2" s="69"/>
      <c r="B2" s="69" t="s">
        <v>317</v>
      </c>
      <c r="C2" s="70"/>
      <c r="D2" s="70"/>
      <c r="E2" s="70"/>
      <c r="F2" s="70"/>
      <c r="G2" s="71"/>
      <c r="H2" s="72"/>
      <c r="I2" s="72"/>
      <c r="J2" s="71"/>
      <c r="K2" s="73"/>
      <c r="L2" s="74"/>
      <c r="M2" s="75"/>
    </row>
    <row r="3">
      <c r="A3" s="69"/>
      <c r="B3" s="76" t="s">
        <v>318</v>
      </c>
      <c r="C3" s="70">
        <v>2371.0</v>
      </c>
      <c r="D3" s="70">
        <v>950.0</v>
      </c>
      <c r="E3" s="70">
        <v>1131.0</v>
      </c>
      <c r="F3" s="70">
        <v>621.0</v>
      </c>
      <c r="G3" s="71">
        <f t="shared" ref="G3:G18" si="1">F3/D3</f>
        <v>0.6536842105</v>
      </c>
      <c r="H3" s="72">
        <v>0.01443287037037037</v>
      </c>
      <c r="I3" s="72">
        <v>0.00568287037037037</v>
      </c>
      <c r="J3" s="71">
        <f t="shared" ref="J3:J18" si="2">I3/H3</f>
        <v>0.393744988</v>
      </c>
      <c r="K3" s="73" t="s">
        <v>319</v>
      </c>
      <c r="L3" s="74">
        <v>350.0</v>
      </c>
      <c r="M3" s="75"/>
    </row>
    <row r="4">
      <c r="A4" s="69"/>
      <c r="B4" s="76" t="s">
        <v>320</v>
      </c>
      <c r="C4" s="58">
        <v>1090.0</v>
      </c>
      <c r="D4" s="58">
        <v>536.0</v>
      </c>
      <c r="E4" s="58">
        <v>407.0</v>
      </c>
      <c r="F4" s="58">
        <v>284.0</v>
      </c>
      <c r="G4" s="43">
        <f t="shared" si="1"/>
        <v>0.5298507463</v>
      </c>
      <c r="H4" s="72">
        <v>0.014178240740740741</v>
      </c>
      <c r="I4" s="72">
        <v>0.010821759259259258</v>
      </c>
      <c r="J4" s="43">
        <f t="shared" si="2"/>
        <v>0.7632653061</v>
      </c>
      <c r="K4" s="73" t="s">
        <v>321</v>
      </c>
      <c r="L4" s="55">
        <v>350.0</v>
      </c>
      <c r="M4" s="77"/>
    </row>
    <row r="5">
      <c r="A5" s="78"/>
      <c r="B5" s="79" t="s">
        <v>322</v>
      </c>
      <c r="C5" s="80">
        <v>1490.0</v>
      </c>
      <c r="D5" s="81">
        <v>736.0</v>
      </c>
      <c r="E5" s="80">
        <v>660.0</v>
      </c>
      <c r="F5" s="80">
        <v>459.0</v>
      </c>
      <c r="G5" s="82">
        <f t="shared" si="1"/>
        <v>0.6236413043</v>
      </c>
      <c r="H5" s="83">
        <v>0.018391203703703705</v>
      </c>
      <c r="I5" s="83">
        <v>0.011180555555555555</v>
      </c>
      <c r="J5" s="82">
        <f t="shared" si="2"/>
        <v>0.6079295154</v>
      </c>
      <c r="K5" s="84" t="s">
        <v>323</v>
      </c>
      <c r="L5" s="85">
        <v>600.0</v>
      </c>
      <c r="M5" s="85" t="s">
        <v>324</v>
      </c>
    </row>
    <row r="6">
      <c r="A6" s="86"/>
      <c r="B6" s="87" t="s">
        <v>325</v>
      </c>
      <c r="C6" s="88">
        <v>386.0</v>
      </c>
      <c r="D6" s="88">
        <v>250.0</v>
      </c>
      <c r="E6" s="88">
        <v>195.0</v>
      </c>
      <c r="F6" s="88">
        <v>152.0</v>
      </c>
      <c r="G6" s="89">
        <f t="shared" si="1"/>
        <v>0.608</v>
      </c>
      <c r="H6" s="90">
        <v>0.008344907407407407</v>
      </c>
      <c r="I6" s="90">
        <v>0.006435185185185185</v>
      </c>
      <c r="J6" s="89">
        <f t="shared" si="2"/>
        <v>0.7711511789</v>
      </c>
      <c r="K6" s="91" t="s">
        <v>326</v>
      </c>
      <c r="L6" s="92"/>
      <c r="M6" s="93"/>
    </row>
    <row r="7">
      <c r="A7" s="69"/>
      <c r="B7" s="76" t="s">
        <v>327</v>
      </c>
      <c r="C7" s="70">
        <v>336.0</v>
      </c>
      <c r="D7" s="70">
        <v>170.0</v>
      </c>
      <c r="E7" s="70">
        <v>125.0</v>
      </c>
      <c r="F7" s="70">
        <v>86.0</v>
      </c>
      <c r="G7" s="71">
        <f t="shared" si="1"/>
        <v>0.5058823529</v>
      </c>
      <c r="H7" s="72">
        <v>0.011770833333333333</v>
      </c>
      <c r="I7" s="72">
        <v>0.010729166666666666</v>
      </c>
      <c r="J7" s="71">
        <f t="shared" si="2"/>
        <v>0.9115044248</v>
      </c>
      <c r="K7" s="73" t="s">
        <v>319</v>
      </c>
      <c r="L7" s="74">
        <v>350.0</v>
      </c>
      <c r="M7" s="75"/>
    </row>
    <row r="8">
      <c r="A8" s="69"/>
      <c r="B8" s="76" t="s">
        <v>328</v>
      </c>
      <c r="C8" s="70">
        <v>976.0</v>
      </c>
      <c r="D8" s="70">
        <v>485.0</v>
      </c>
      <c r="E8" s="70">
        <v>422.0</v>
      </c>
      <c r="F8" s="70">
        <v>285.0</v>
      </c>
      <c r="G8" s="71">
        <f t="shared" si="1"/>
        <v>0.587628866</v>
      </c>
      <c r="H8" s="72">
        <v>0.014467592592592593</v>
      </c>
      <c r="I8" s="72">
        <v>0.008645833333333333</v>
      </c>
      <c r="J8" s="71">
        <f t="shared" si="2"/>
        <v>0.5976</v>
      </c>
      <c r="K8" s="73" t="s">
        <v>321</v>
      </c>
      <c r="L8" s="74">
        <v>350.0</v>
      </c>
      <c r="M8" s="75"/>
    </row>
    <row r="9">
      <c r="A9" s="78"/>
      <c r="B9" s="79" t="s">
        <v>329</v>
      </c>
      <c r="C9" s="80">
        <v>1671.0</v>
      </c>
      <c r="D9" s="81">
        <v>797.0</v>
      </c>
      <c r="E9" s="80">
        <v>832.0</v>
      </c>
      <c r="F9" s="80">
        <v>570.0</v>
      </c>
      <c r="G9" s="82">
        <f t="shared" si="1"/>
        <v>0.7151819322</v>
      </c>
      <c r="H9" s="83">
        <v>0.017314814814814814</v>
      </c>
      <c r="I9" s="83">
        <v>0.010046296296296296</v>
      </c>
      <c r="J9" s="82">
        <f t="shared" si="2"/>
        <v>0.5802139037</v>
      </c>
      <c r="K9" s="84" t="s">
        <v>323</v>
      </c>
      <c r="L9" s="85">
        <v>600.0</v>
      </c>
      <c r="M9" s="85" t="s">
        <v>324</v>
      </c>
    </row>
    <row r="10">
      <c r="A10" s="86"/>
      <c r="B10" s="87" t="s">
        <v>325</v>
      </c>
      <c r="C10" s="88">
        <v>408.0</v>
      </c>
      <c r="D10" s="88">
        <v>274.0</v>
      </c>
      <c r="E10" s="88">
        <v>245.0</v>
      </c>
      <c r="F10" s="88">
        <v>194.0</v>
      </c>
      <c r="G10" s="89">
        <f t="shared" si="1"/>
        <v>0.7080291971</v>
      </c>
      <c r="H10" s="90">
        <v>0.011134259259259259</v>
      </c>
      <c r="I10" s="90">
        <v>0.007453703703703704</v>
      </c>
      <c r="J10" s="89">
        <f t="shared" si="2"/>
        <v>0.6694386694</v>
      </c>
      <c r="K10" s="91" t="s">
        <v>326</v>
      </c>
      <c r="L10" s="92"/>
      <c r="M10" s="93"/>
    </row>
    <row r="11">
      <c r="A11" s="69"/>
      <c r="B11" s="76" t="s">
        <v>330</v>
      </c>
      <c r="C11" s="70">
        <v>618.0</v>
      </c>
      <c r="D11" s="70">
        <v>317.0</v>
      </c>
      <c r="E11" s="70">
        <v>331.0</v>
      </c>
      <c r="F11" s="70">
        <v>215.0</v>
      </c>
      <c r="G11" s="71">
        <f t="shared" si="1"/>
        <v>0.6782334385</v>
      </c>
      <c r="H11" s="72">
        <v>0.014814814814814815</v>
      </c>
      <c r="I11" s="72">
        <v>0.012291666666666666</v>
      </c>
      <c r="J11" s="71">
        <f t="shared" si="2"/>
        <v>0.8296875</v>
      </c>
      <c r="K11" s="73" t="s">
        <v>319</v>
      </c>
      <c r="L11" s="74">
        <v>350.0</v>
      </c>
      <c r="M11" s="75"/>
    </row>
    <row r="12">
      <c r="A12" s="69"/>
      <c r="B12" s="76" t="s">
        <v>331</v>
      </c>
      <c r="C12" s="70">
        <v>348.0</v>
      </c>
      <c r="D12" s="70">
        <v>210.0</v>
      </c>
      <c r="E12" s="70">
        <v>150.0</v>
      </c>
      <c r="F12" s="70">
        <v>108.0</v>
      </c>
      <c r="G12" s="71">
        <f t="shared" si="1"/>
        <v>0.5142857143</v>
      </c>
      <c r="H12" s="72">
        <v>0.015289351851851853</v>
      </c>
      <c r="I12" s="72">
        <v>0.010729166666666666</v>
      </c>
      <c r="J12" s="71">
        <f t="shared" si="2"/>
        <v>0.7017411052</v>
      </c>
      <c r="K12" s="73" t="s">
        <v>321</v>
      </c>
      <c r="L12" s="74">
        <v>350.0</v>
      </c>
      <c r="M12" s="75"/>
    </row>
    <row r="13">
      <c r="A13" s="78"/>
      <c r="B13" s="79" t="s">
        <v>332</v>
      </c>
      <c r="C13" s="80">
        <v>809.0</v>
      </c>
      <c r="D13" s="81">
        <v>446.0</v>
      </c>
      <c r="E13" s="80">
        <v>378.0</v>
      </c>
      <c r="F13" s="80">
        <v>283.0</v>
      </c>
      <c r="G13" s="82">
        <f t="shared" si="1"/>
        <v>0.634529148</v>
      </c>
      <c r="H13" s="83">
        <v>0.016180555555555556</v>
      </c>
      <c r="I13" s="83">
        <v>0.0084375</v>
      </c>
      <c r="J13" s="82">
        <f t="shared" si="2"/>
        <v>0.5214592275</v>
      </c>
      <c r="K13" s="84" t="s">
        <v>323</v>
      </c>
      <c r="L13" s="85">
        <v>600.0</v>
      </c>
      <c r="M13" s="85" t="s">
        <v>324</v>
      </c>
    </row>
    <row r="14">
      <c r="A14" s="86"/>
      <c r="B14" s="87" t="s">
        <v>325</v>
      </c>
      <c r="C14" s="88">
        <v>198.0</v>
      </c>
      <c r="D14" s="88">
        <v>134.0</v>
      </c>
      <c r="E14" s="88">
        <v>94.0</v>
      </c>
      <c r="F14" s="88">
        <v>78.0</v>
      </c>
      <c r="G14" s="89">
        <f t="shared" si="1"/>
        <v>0.5820895522</v>
      </c>
      <c r="H14" s="90">
        <v>0.00837962962962963</v>
      </c>
      <c r="I14" s="90">
        <v>0.006863425925925926</v>
      </c>
      <c r="J14" s="89">
        <f t="shared" si="2"/>
        <v>0.8190607735</v>
      </c>
      <c r="K14" s="91" t="s">
        <v>326</v>
      </c>
      <c r="L14" s="92"/>
      <c r="M14" s="93"/>
    </row>
    <row r="15">
      <c r="A15" s="69"/>
      <c r="B15" s="76" t="s">
        <v>333</v>
      </c>
      <c r="C15" s="70">
        <v>412.0</v>
      </c>
      <c r="D15" s="70">
        <v>208.0</v>
      </c>
      <c r="E15" s="70">
        <v>157.0</v>
      </c>
      <c r="F15" s="70">
        <v>98.0</v>
      </c>
      <c r="G15" s="71">
        <f t="shared" si="1"/>
        <v>0.4711538462</v>
      </c>
      <c r="H15" s="72">
        <v>0.01462962962962963</v>
      </c>
      <c r="I15" s="72">
        <v>0.013136574074074075</v>
      </c>
      <c r="J15" s="71">
        <f t="shared" si="2"/>
        <v>0.897943038</v>
      </c>
      <c r="K15" s="73" t="s">
        <v>319</v>
      </c>
      <c r="L15" s="74">
        <v>350.0</v>
      </c>
      <c r="M15" s="75"/>
    </row>
    <row r="16">
      <c r="A16" s="69"/>
      <c r="B16" s="76" t="s">
        <v>334</v>
      </c>
      <c r="C16" s="70">
        <v>1125.0</v>
      </c>
      <c r="D16" s="70">
        <v>504.0</v>
      </c>
      <c r="E16" s="70">
        <v>544.0</v>
      </c>
      <c r="F16" s="70">
        <v>334.0</v>
      </c>
      <c r="G16" s="71">
        <f t="shared" si="1"/>
        <v>0.6626984127</v>
      </c>
      <c r="H16" s="72">
        <v>0.016886574074074075</v>
      </c>
      <c r="I16" s="72">
        <v>0.012488425925925925</v>
      </c>
      <c r="J16" s="71">
        <f t="shared" si="2"/>
        <v>0.7395476354</v>
      </c>
      <c r="K16" s="73" t="s">
        <v>321</v>
      </c>
      <c r="L16" s="74">
        <v>350.0</v>
      </c>
      <c r="M16" s="75"/>
    </row>
    <row r="17">
      <c r="A17" s="78"/>
      <c r="B17" s="79" t="s">
        <v>335</v>
      </c>
      <c r="C17" s="80">
        <v>849.0</v>
      </c>
      <c r="D17" s="81">
        <v>429.0</v>
      </c>
      <c r="E17" s="80">
        <v>384.0</v>
      </c>
      <c r="F17" s="80">
        <v>258.0</v>
      </c>
      <c r="G17" s="82">
        <f t="shared" si="1"/>
        <v>0.6013986014</v>
      </c>
      <c r="H17" s="83">
        <v>0.014050925925925927</v>
      </c>
      <c r="I17" s="83">
        <v>0.01025462962962963</v>
      </c>
      <c r="J17" s="82">
        <f t="shared" si="2"/>
        <v>0.7298187809</v>
      </c>
      <c r="K17" s="84" t="s">
        <v>323</v>
      </c>
      <c r="L17" s="85">
        <v>600.0</v>
      </c>
      <c r="M17" s="85" t="s">
        <v>324</v>
      </c>
    </row>
    <row r="18">
      <c r="A18" s="86"/>
      <c r="B18" s="87" t="s">
        <v>325</v>
      </c>
      <c r="C18" s="88">
        <v>300.0</v>
      </c>
      <c r="D18" s="88">
        <v>187.0</v>
      </c>
      <c r="E18" s="88">
        <v>143.0</v>
      </c>
      <c r="F18" s="88">
        <v>108.0</v>
      </c>
      <c r="G18" s="89">
        <f t="shared" si="1"/>
        <v>0.577540107</v>
      </c>
      <c r="H18" s="90">
        <v>0.013310185185185185</v>
      </c>
      <c r="I18" s="90">
        <v>0.010300925925925925</v>
      </c>
      <c r="J18" s="89">
        <f t="shared" si="2"/>
        <v>0.7739130435</v>
      </c>
      <c r="K18" s="94" t="s">
        <v>326</v>
      </c>
      <c r="L18" s="92"/>
      <c r="M18" s="93"/>
    </row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</hyperlinks>
  <drawing r:id="rId1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45.5"/>
    <col customWidth="1" min="3" max="3" width="13.63"/>
    <col customWidth="1" min="7" max="7" width="15.63"/>
    <col customWidth="1" min="8" max="8" width="15.88"/>
    <col customWidth="1" min="9" max="10" width="17.5"/>
    <col customWidth="1" min="11" max="11" width="34.5"/>
    <col customWidth="1" min="12" max="12" width="11.25"/>
  </cols>
  <sheetData>
    <row r="1">
      <c r="A1" s="7" t="s">
        <v>336</v>
      </c>
      <c r="B1" s="95"/>
      <c r="C1" s="96"/>
      <c r="D1" s="96"/>
      <c r="E1" s="96"/>
      <c r="F1" s="96"/>
      <c r="G1" s="96"/>
      <c r="H1" s="96"/>
      <c r="I1" s="96"/>
      <c r="J1" s="96"/>
      <c r="K1" s="95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</row>
    <row r="2">
      <c r="A2" s="98" t="s">
        <v>337</v>
      </c>
      <c r="B2" s="95"/>
      <c r="C2" s="96"/>
      <c r="D2" s="96"/>
      <c r="E2" s="96"/>
      <c r="F2" s="96"/>
      <c r="G2" s="96"/>
      <c r="H2" s="96"/>
      <c r="I2" s="96"/>
      <c r="J2" s="96"/>
      <c r="K2" s="95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</row>
    <row r="3">
      <c r="A3" s="98" t="s">
        <v>338</v>
      </c>
      <c r="B3" s="95"/>
      <c r="C3" s="99" t="s">
        <v>17</v>
      </c>
      <c r="D3" s="100">
        <v>46022.0</v>
      </c>
      <c r="E3" s="101" t="s">
        <v>339</v>
      </c>
      <c r="F3" s="102">
        <v>46022.0</v>
      </c>
      <c r="G3" s="103" t="s">
        <v>340</v>
      </c>
      <c r="H3" s="103" t="s">
        <v>341</v>
      </c>
      <c r="I3" s="96"/>
      <c r="J3" s="96"/>
      <c r="K3" s="95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</row>
    <row r="4">
      <c r="A4" s="11" t="s">
        <v>342</v>
      </c>
      <c r="B4" s="11" t="s">
        <v>316</v>
      </c>
      <c r="C4" s="19" t="s">
        <v>343</v>
      </c>
      <c r="D4" s="19" t="s">
        <v>57</v>
      </c>
      <c r="E4" s="19" t="s">
        <v>344</v>
      </c>
      <c r="F4" s="19" t="s">
        <v>345</v>
      </c>
      <c r="G4" s="19" t="s">
        <v>346</v>
      </c>
      <c r="H4" s="19" t="s">
        <v>19</v>
      </c>
      <c r="I4" s="19" t="s">
        <v>347</v>
      </c>
      <c r="J4" s="19" t="s">
        <v>348</v>
      </c>
      <c r="K4" s="11" t="s">
        <v>349</v>
      </c>
      <c r="L4" s="11" t="s">
        <v>49</v>
      </c>
      <c r="M4" s="11" t="s">
        <v>350</v>
      </c>
    </row>
    <row r="5">
      <c r="A5" s="95">
        <v>1.0</v>
      </c>
      <c r="B5" s="104" t="s">
        <v>351</v>
      </c>
      <c r="C5" s="105">
        <v>4987.0</v>
      </c>
      <c r="D5" s="105">
        <v>1958.0</v>
      </c>
      <c r="E5" s="105">
        <v>2436.0</v>
      </c>
      <c r="F5" s="105">
        <v>1430.0</v>
      </c>
      <c r="G5" s="106">
        <f t="shared" ref="G5:G20" si="1">F5/D5</f>
        <v>0.7303370787</v>
      </c>
      <c r="H5" s="107">
        <v>0.9256944444444445</v>
      </c>
      <c r="I5" s="107">
        <v>0.3902777777777778</v>
      </c>
      <c r="J5" s="106">
        <f t="shared" ref="J5:J20" si="2">I5/H5</f>
        <v>0.4216054014</v>
      </c>
      <c r="K5" s="108" t="s">
        <v>319</v>
      </c>
      <c r="L5" s="108">
        <v>350.0</v>
      </c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</row>
    <row r="6">
      <c r="A6" s="109">
        <v>2.0</v>
      </c>
      <c r="B6" s="110" t="s">
        <v>352</v>
      </c>
      <c r="C6" s="111">
        <v>2645.0</v>
      </c>
      <c r="D6" s="112">
        <v>1279.0</v>
      </c>
      <c r="E6" s="111">
        <v>1266.0</v>
      </c>
      <c r="F6" s="111">
        <v>876.0</v>
      </c>
      <c r="G6" s="113">
        <f t="shared" si="1"/>
        <v>0.684910086</v>
      </c>
      <c r="H6" s="114">
        <v>0.8979166666666667</v>
      </c>
      <c r="I6" s="114">
        <v>0.5368055555555555</v>
      </c>
      <c r="J6" s="113">
        <f t="shared" si="2"/>
        <v>0.5978344934</v>
      </c>
      <c r="K6" s="115" t="s">
        <v>323</v>
      </c>
      <c r="L6" s="115">
        <v>2000.0</v>
      </c>
      <c r="M6" s="116">
        <v>1000.0</v>
      </c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17"/>
      <c r="AD6" s="117"/>
    </row>
    <row r="7">
      <c r="A7" s="95">
        <v>3.0</v>
      </c>
      <c r="B7" s="104" t="s">
        <v>353</v>
      </c>
      <c r="C7" s="105">
        <v>1427.0</v>
      </c>
      <c r="D7" s="105">
        <v>675.0</v>
      </c>
      <c r="E7" s="105">
        <v>498.0</v>
      </c>
      <c r="F7" s="105">
        <v>342.0</v>
      </c>
      <c r="G7" s="106">
        <f t="shared" si="1"/>
        <v>0.5066666667</v>
      </c>
      <c r="H7" s="107">
        <v>0.9673611111111111</v>
      </c>
      <c r="I7" s="107">
        <v>0.7256944444444444</v>
      </c>
      <c r="J7" s="106">
        <f t="shared" si="2"/>
        <v>0.7501794688</v>
      </c>
      <c r="K7" s="108" t="s">
        <v>321</v>
      </c>
      <c r="L7" s="108">
        <v>350.0</v>
      </c>
      <c r="M7" s="118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</row>
    <row r="8">
      <c r="A8" s="119">
        <v>4.0</v>
      </c>
      <c r="B8" s="120" t="s">
        <v>325</v>
      </c>
      <c r="C8" s="121">
        <v>509.0</v>
      </c>
      <c r="D8" s="121">
        <v>318.0</v>
      </c>
      <c r="E8" s="121">
        <v>267.0</v>
      </c>
      <c r="F8" s="121">
        <v>210.0</v>
      </c>
      <c r="G8" s="122">
        <f t="shared" si="1"/>
        <v>0.6603773585</v>
      </c>
      <c r="H8" s="123">
        <v>0.5527777777777778</v>
      </c>
      <c r="I8" s="123">
        <v>0.41180555555555554</v>
      </c>
      <c r="J8" s="122">
        <f t="shared" si="2"/>
        <v>0.7449748744</v>
      </c>
      <c r="K8" s="124" t="s">
        <v>326</v>
      </c>
      <c r="L8" s="125"/>
      <c r="M8" s="126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  <c r="AB8" s="125"/>
      <c r="AC8" s="125"/>
      <c r="AD8" s="125"/>
    </row>
    <row r="9">
      <c r="A9" s="95">
        <v>5.0</v>
      </c>
      <c r="B9" s="104" t="s">
        <v>354</v>
      </c>
      <c r="C9" s="105">
        <v>524.0</v>
      </c>
      <c r="D9" s="105">
        <v>318.0</v>
      </c>
      <c r="E9" s="105">
        <v>241.0</v>
      </c>
      <c r="F9" s="105">
        <v>190.0</v>
      </c>
      <c r="G9" s="106">
        <f t="shared" si="1"/>
        <v>0.5974842767</v>
      </c>
      <c r="H9" s="107">
        <v>0.6854166666666667</v>
      </c>
      <c r="I9" s="107">
        <v>0.46458333333333335</v>
      </c>
      <c r="J9" s="106">
        <f t="shared" si="2"/>
        <v>0.6778115502</v>
      </c>
      <c r="K9" s="108" t="s">
        <v>319</v>
      </c>
      <c r="L9" s="108">
        <v>350.0</v>
      </c>
      <c r="M9" s="118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</row>
    <row r="10">
      <c r="A10" s="95">
        <v>6.0</v>
      </c>
      <c r="B10" s="104" t="s">
        <v>355</v>
      </c>
      <c r="C10" s="105">
        <v>641.0</v>
      </c>
      <c r="D10" s="105">
        <v>328.0</v>
      </c>
      <c r="E10" s="105">
        <v>302.0</v>
      </c>
      <c r="F10" s="105">
        <v>212.0</v>
      </c>
      <c r="G10" s="106">
        <f t="shared" si="1"/>
        <v>0.6463414634</v>
      </c>
      <c r="H10" s="107">
        <v>0.8159722222222222</v>
      </c>
      <c r="I10" s="107">
        <v>0.55</v>
      </c>
      <c r="J10" s="106">
        <f t="shared" si="2"/>
        <v>0.6740425532</v>
      </c>
      <c r="K10" s="108" t="s">
        <v>321</v>
      </c>
      <c r="L10" s="108">
        <v>350.0</v>
      </c>
      <c r="M10" s="118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</row>
    <row r="11">
      <c r="A11" s="109">
        <v>7.0</v>
      </c>
      <c r="B11" s="110" t="s">
        <v>356</v>
      </c>
      <c r="C11" s="111">
        <v>1401.0</v>
      </c>
      <c r="D11" s="112">
        <v>700.0</v>
      </c>
      <c r="E11" s="111">
        <v>580.0</v>
      </c>
      <c r="F11" s="111">
        <v>407.0</v>
      </c>
      <c r="G11" s="113">
        <f t="shared" si="1"/>
        <v>0.5814285714</v>
      </c>
      <c r="H11" s="114">
        <v>1.0798611111111112</v>
      </c>
      <c r="I11" s="114">
        <v>0.7625</v>
      </c>
      <c r="J11" s="113">
        <f t="shared" si="2"/>
        <v>0.7061093248</v>
      </c>
      <c r="K11" s="115" t="s">
        <v>323</v>
      </c>
      <c r="L11" s="115">
        <v>600.0</v>
      </c>
      <c r="M11" s="116" t="s">
        <v>357</v>
      </c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  <c r="AA11" s="117"/>
      <c r="AB11" s="117"/>
      <c r="AC11" s="117"/>
      <c r="AD11" s="117"/>
    </row>
    <row r="12">
      <c r="A12" s="119">
        <v>8.0</v>
      </c>
      <c r="B12" s="120" t="s">
        <v>325</v>
      </c>
      <c r="C12" s="121">
        <v>297.0</v>
      </c>
      <c r="D12" s="121">
        <v>213.0</v>
      </c>
      <c r="E12" s="121">
        <v>139.0</v>
      </c>
      <c r="F12" s="121">
        <v>109.0</v>
      </c>
      <c r="G12" s="122">
        <f t="shared" si="1"/>
        <v>0.5117370892</v>
      </c>
      <c r="H12" s="123">
        <v>0.5965277777777778</v>
      </c>
      <c r="I12" s="123">
        <v>0.45</v>
      </c>
      <c r="J12" s="122">
        <f t="shared" si="2"/>
        <v>0.7543655413</v>
      </c>
      <c r="K12" s="124" t="s">
        <v>326</v>
      </c>
      <c r="L12" s="125"/>
      <c r="M12" s="126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125"/>
    </row>
    <row r="13">
      <c r="A13" s="95">
        <v>9.0</v>
      </c>
      <c r="B13" s="104" t="s">
        <v>358</v>
      </c>
      <c r="C13" s="105">
        <v>844.0</v>
      </c>
      <c r="D13" s="105">
        <v>478.0</v>
      </c>
      <c r="E13" s="105">
        <v>373.0</v>
      </c>
      <c r="F13" s="105">
        <v>252.0</v>
      </c>
      <c r="G13" s="106">
        <f t="shared" si="1"/>
        <v>0.5271966527</v>
      </c>
      <c r="H13" s="107">
        <v>0.8784722222222222</v>
      </c>
      <c r="I13" s="107">
        <v>0.7534722222222222</v>
      </c>
      <c r="J13" s="106">
        <f t="shared" si="2"/>
        <v>0.8577075099</v>
      </c>
      <c r="K13" s="108" t="s">
        <v>319</v>
      </c>
      <c r="L13" s="108">
        <v>350.0</v>
      </c>
      <c r="M13" s="118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</row>
    <row r="14">
      <c r="A14" s="95">
        <v>10.0</v>
      </c>
      <c r="B14" s="104" t="s">
        <v>359</v>
      </c>
      <c r="C14" s="105">
        <v>1166.0</v>
      </c>
      <c r="D14" s="105">
        <v>585.0</v>
      </c>
      <c r="E14" s="105">
        <v>554.0</v>
      </c>
      <c r="F14" s="105">
        <v>363.0</v>
      </c>
      <c r="G14" s="106">
        <f t="shared" si="1"/>
        <v>0.6205128205</v>
      </c>
      <c r="H14" s="107">
        <v>0.8638888888888889</v>
      </c>
      <c r="I14" s="107">
        <v>0.6263888888888889</v>
      </c>
      <c r="J14" s="106">
        <f t="shared" si="2"/>
        <v>0.7250803859</v>
      </c>
      <c r="K14" s="108" t="s">
        <v>321</v>
      </c>
      <c r="L14" s="108">
        <v>350.0</v>
      </c>
      <c r="M14" s="118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</row>
    <row r="15">
      <c r="A15" s="109">
        <v>11.0</v>
      </c>
      <c r="B15" s="110" t="s">
        <v>360</v>
      </c>
      <c r="C15" s="111">
        <v>1462.0</v>
      </c>
      <c r="D15" s="112">
        <v>684.0</v>
      </c>
      <c r="E15" s="111">
        <v>725.0</v>
      </c>
      <c r="F15" s="111">
        <v>471.0</v>
      </c>
      <c r="G15" s="113">
        <f t="shared" si="1"/>
        <v>0.6885964912</v>
      </c>
      <c r="H15" s="114">
        <v>0.9923611111111111</v>
      </c>
      <c r="I15" s="114">
        <v>0.5451388888888888</v>
      </c>
      <c r="J15" s="113">
        <f t="shared" si="2"/>
        <v>0.5493351994</v>
      </c>
      <c r="K15" s="115" t="s">
        <v>323</v>
      </c>
      <c r="L15" s="115">
        <v>600.0</v>
      </c>
      <c r="M15" s="116" t="s">
        <v>357</v>
      </c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  <c r="AB15" s="117"/>
      <c r="AC15" s="117"/>
      <c r="AD15" s="117"/>
    </row>
    <row r="16">
      <c r="A16" s="119">
        <v>12.0</v>
      </c>
      <c r="B16" s="120" t="s">
        <v>325</v>
      </c>
      <c r="C16" s="121">
        <v>258.0</v>
      </c>
      <c r="D16" s="121">
        <v>185.0</v>
      </c>
      <c r="E16" s="121">
        <v>143.0</v>
      </c>
      <c r="F16" s="121">
        <v>123.0</v>
      </c>
      <c r="G16" s="122">
        <f t="shared" si="1"/>
        <v>0.6648648649</v>
      </c>
      <c r="H16" s="123">
        <v>0.6020833333333333</v>
      </c>
      <c r="I16" s="123">
        <v>0.5284722222222222</v>
      </c>
      <c r="J16" s="122">
        <f t="shared" si="2"/>
        <v>0.877739331</v>
      </c>
      <c r="K16" s="124" t="s">
        <v>326</v>
      </c>
      <c r="L16" s="125"/>
      <c r="M16" s="126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5"/>
      <c r="AC16" s="125"/>
      <c r="AD16" s="125"/>
    </row>
    <row r="17">
      <c r="A17" s="95">
        <v>13.0</v>
      </c>
      <c r="B17" s="104" t="s">
        <v>361</v>
      </c>
      <c r="C17" s="105">
        <v>568.0</v>
      </c>
      <c r="D17" s="105">
        <v>303.0</v>
      </c>
      <c r="E17" s="105">
        <v>251.0</v>
      </c>
      <c r="F17" s="105">
        <v>177.0</v>
      </c>
      <c r="G17" s="106">
        <f t="shared" si="1"/>
        <v>0.5841584158</v>
      </c>
      <c r="H17" s="107">
        <v>0.8361111111111111</v>
      </c>
      <c r="I17" s="107">
        <v>0.6118055555555556</v>
      </c>
      <c r="J17" s="106">
        <f t="shared" si="2"/>
        <v>0.7317275748</v>
      </c>
      <c r="K17" s="108" t="s">
        <v>319</v>
      </c>
      <c r="L17" s="108">
        <v>350.0</v>
      </c>
      <c r="M17" s="118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</row>
    <row r="18">
      <c r="A18" s="95">
        <v>14.0</v>
      </c>
      <c r="B18" s="104" t="s">
        <v>362</v>
      </c>
      <c r="C18" s="105">
        <v>480.0</v>
      </c>
      <c r="D18" s="105">
        <v>271.0</v>
      </c>
      <c r="E18" s="105">
        <v>237.0</v>
      </c>
      <c r="F18" s="105">
        <v>169.0</v>
      </c>
      <c r="G18" s="106">
        <f t="shared" si="1"/>
        <v>0.6236162362</v>
      </c>
      <c r="H18" s="107">
        <v>0.8652777777777778</v>
      </c>
      <c r="I18" s="107">
        <v>0.5625</v>
      </c>
      <c r="J18" s="106">
        <f t="shared" si="2"/>
        <v>0.6500802568</v>
      </c>
      <c r="K18" s="108" t="s">
        <v>321</v>
      </c>
      <c r="L18" s="108">
        <v>350.0</v>
      </c>
      <c r="M18" s="118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</row>
    <row r="19">
      <c r="A19" s="109">
        <v>15.0</v>
      </c>
      <c r="B19" s="110" t="s">
        <v>363</v>
      </c>
      <c r="C19" s="111">
        <v>536.0</v>
      </c>
      <c r="D19" s="112">
        <v>307.0</v>
      </c>
      <c r="E19" s="111">
        <v>243.0</v>
      </c>
      <c r="F19" s="111">
        <v>183.0</v>
      </c>
      <c r="G19" s="113">
        <f t="shared" si="1"/>
        <v>0.5960912052</v>
      </c>
      <c r="H19" s="114">
        <v>0.8347222222222223</v>
      </c>
      <c r="I19" s="114">
        <v>0.5715277777777777</v>
      </c>
      <c r="J19" s="113">
        <f t="shared" si="2"/>
        <v>0.6846921797</v>
      </c>
      <c r="K19" s="115" t="s">
        <v>323</v>
      </c>
      <c r="L19" s="115">
        <v>700.0</v>
      </c>
      <c r="M19" s="116" t="s">
        <v>357</v>
      </c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  <c r="AA19" s="117"/>
      <c r="AB19" s="117"/>
      <c r="AC19" s="117"/>
      <c r="AD19" s="117"/>
    </row>
    <row r="20">
      <c r="A20" s="119">
        <v>16.0</v>
      </c>
      <c r="B20" s="120" t="s">
        <v>325</v>
      </c>
      <c r="C20" s="121">
        <v>194.0</v>
      </c>
      <c r="D20" s="121">
        <v>131.0</v>
      </c>
      <c r="E20" s="121">
        <v>76.0</v>
      </c>
      <c r="F20" s="121">
        <v>59.0</v>
      </c>
      <c r="G20" s="122">
        <f t="shared" si="1"/>
        <v>0.4503816794</v>
      </c>
      <c r="H20" s="123">
        <v>0.6722222222222223</v>
      </c>
      <c r="I20" s="123">
        <v>0.6208333333333333</v>
      </c>
      <c r="J20" s="122">
        <f t="shared" si="2"/>
        <v>0.923553719</v>
      </c>
      <c r="K20" s="127" t="s">
        <v>326</v>
      </c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  <c r="AB20" s="125"/>
      <c r="AC20" s="125"/>
      <c r="AD20" s="125"/>
    </row>
    <row r="21">
      <c r="A21" s="128"/>
      <c r="B21" s="128"/>
      <c r="C21" s="129">
        <v>19248.0</v>
      </c>
      <c r="D21" s="129">
        <v>3425.0</v>
      </c>
      <c r="E21" s="129">
        <v>8549.0</v>
      </c>
      <c r="F21" s="129">
        <v>2465.0</v>
      </c>
      <c r="G21" s="129"/>
      <c r="H21" s="129"/>
      <c r="I21" s="129"/>
      <c r="J21" s="129"/>
      <c r="K21" s="95" t="s">
        <v>364</v>
      </c>
      <c r="L21" s="130">
        <v>300.0</v>
      </c>
      <c r="M21" s="131"/>
      <c r="N21" s="131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</row>
    <row r="22">
      <c r="A22" s="95"/>
      <c r="B22" s="95"/>
      <c r="C22" s="96"/>
      <c r="D22" s="96"/>
      <c r="E22" s="96"/>
      <c r="F22" s="96"/>
      <c r="G22" s="96"/>
      <c r="H22" s="96"/>
      <c r="I22" s="96"/>
      <c r="J22" s="96"/>
      <c r="L22" s="97">
        <f>SUM(L5:L21)</f>
        <v>7000</v>
      </c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7"/>
    </row>
    <row r="23">
      <c r="A23" s="95"/>
      <c r="B23" s="95"/>
      <c r="C23" s="96"/>
      <c r="D23" s="96"/>
      <c r="E23" s="96"/>
      <c r="F23" s="96"/>
      <c r="G23" s="96"/>
      <c r="H23" s="96"/>
      <c r="I23" s="96"/>
      <c r="J23" s="96"/>
      <c r="K23" s="95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</row>
    <row r="24">
      <c r="A24" s="132" t="s">
        <v>365</v>
      </c>
      <c r="B24" s="132" t="s">
        <v>366</v>
      </c>
      <c r="C24" s="132" t="s">
        <v>367</v>
      </c>
      <c r="D24" s="132" t="s">
        <v>11</v>
      </c>
      <c r="E24" s="132" t="s">
        <v>19</v>
      </c>
      <c r="F24" s="132" t="s">
        <v>368</v>
      </c>
      <c r="G24" s="96"/>
      <c r="H24" s="133" t="s">
        <v>369</v>
      </c>
      <c r="I24" s="133">
        <v>3882.0</v>
      </c>
      <c r="J24" s="134">
        <v>46022.0</v>
      </c>
      <c r="K24" s="95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</row>
    <row r="25">
      <c r="A25" s="109">
        <v>2025.0</v>
      </c>
      <c r="B25" s="112">
        <v>1763.0</v>
      </c>
      <c r="C25" s="112">
        <v>761.0</v>
      </c>
      <c r="D25" s="135">
        <v>0.432</v>
      </c>
      <c r="E25" s="112">
        <v>372.0</v>
      </c>
      <c r="F25" s="112">
        <v>160.0</v>
      </c>
      <c r="G25" s="96"/>
      <c r="H25" s="96"/>
      <c r="I25" s="96"/>
      <c r="J25" s="96"/>
      <c r="K25" s="95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</row>
    <row r="26">
      <c r="A26" s="136">
        <v>2024.0</v>
      </c>
      <c r="B26" s="137">
        <v>2607.0</v>
      </c>
      <c r="C26" s="137">
        <v>1240.0</v>
      </c>
      <c r="D26" s="138">
        <v>0.476</v>
      </c>
      <c r="E26" s="137">
        <v>387.0</v>
      </c>
      <c r="F26" s="137">
        <v>196.0</v>
      </c>
      <c r="G26" s="96"/>
      <c r="H26" s="96"/>
      <c r="I26" s="96"/>
      <c r="J26" s="96"/>
      <c r="K26" s="95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</row>
    <row r="27">
      <c r="A27" s="95"/>
      <c r="B27" s="95"/>
      <c r="C27" s="96"/>
      <c r="D27" s="96"/>
      <c r="E27" s="96"/>
      <c r="F27" s="96"/>
      <c r="G27" s="96"/>
      <c r="H27" s="96"/>
      <c r="I27" s="96"/>
      <c r="J27" s="96"/>
      <c r="K27" s="4" t="s">
        <v>1</v>
      </c>
      <c r="L27" s="5">
        <v>2024.0</v>
      </c>
      <c r="M27" s="108">
        <v>2025.0</v>
      </c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</row>
    <row r="28">
      <c r="A28" s="95"/>
      <c r="B28" s="95"/>
      <c r="C28" s="96"/>
      <c r="D28" s="96"/>
      <c r="E28" s="96"/>
      <c r="F28" s="96"/>
      <c r="G28" s="96"/>
      <c r="H28" s="96"/>
      <c r="I28" s="96"/>
      <c r="J28" s="96"/>
      <c r="K28" s="12" t="s">
        <v>10</v>
      </c>
      <c r="L28" s="7">
        <v>1240.0</v>
      </c>
      <c r="M28" s="108">
        <v>761.0</v>
      </c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</row>
    <row r="29">
      <c r="A29" s="95"/>
      <c r="B29" s="95"/>
      <c r="C29" s="96"/>
      <c r="D29" s="96"/>
      <c r="E29" s="96"/>
      <c r="F29" s="96"/>
      <c r="G29" s="96"/>
      <c r="H29" s="96"/>
      <c r="I29" s="96"/>
      <c r="J29" s="96"/>
      <c r="K29" s="12" t="s">
        <v>12</v>
      </c>
      <c r="L29" s="7">
        <v>2703.0</v>
      </c>
      <c r="M29" s="108">
        <v>3882.0</v>
      </c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</row>
    <row r="30">
      <c r="A30" s="95"/>
      <c r="B30" s="95"/>
      <c r="C30" s="96"/>
      <c r="D30" s="96"/>
      <c r="E30" s="96"/>
      <c r="F30" s="96"/>
      <c r="G30" s="96"/>
      <c r="H30" s="96"/>
      <c r="I30" s="96"/>
      <c r="J30" s="96"/>
      <c r="K30" s="8" t="s">
        <v>17</v>
      </c>
      <c r="L30" s="18">
        <v>45838.0</v>
      </c>
      <c r="M30" s="139">
        <v>46053.0</v>
      </c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</row>
    <row r="31">
      <c r="A31" s="95"/>
      <c r="B31" s="95"/>
      <c r="C31" s="96"/>
      <c r="D31" s="96"/>
      <c r="E31" s="96"/>
      <c r="F31" s="96"/>
      <c r="G31" s="96"/>
      <c r="H31" s="96"/>
      <c r="I31" s="96"/>
      <c r="J31" s="96"/>
      <c r="K31" s="95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</row>
    <row r="32">
      <c r="A32" s="95"/>
      <c r="B32" s="95"/>
      <c r="C32" s="96"/>
      <c r="D32" s="96"/>
      <c r="E32" s="96"/>
      <c r="F32" s="96"/>
      <c r="G32" s="96"/>
      <c r="H32" s="96"/>
      <c r="I32" s="96"/>
      <c r="J32" s="96"/>
      <c r="K32" s="95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</row>
    <row r="33">
      <c r="A33" s="95"/>
      <c r="B33" s="95"/>
      <c r="C33" s="96"/>
      <c r="D33" s="96"/>
      <c r="E33" s="96"/>
      <c r="F33" s="96"/>
      <c r="G33" s="96"/>
      <c r="H33" s="96"/>
      <c r="I33" s="96"/>
      <c r="J33" s="96"/>
      <c r="L33" s="13"/>
      <c r="M33" s="13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</row>
    <row r="34">
      <c r="A34" s="95"/>
      <c r="B34" s="95"/>
      <c r="C34" s="96"/>
      <c r="D34" s="96"/>
      <c r="E34" s="96"/>
      <c r="F34" s="96"/>
      <c r="G34" s="96"/>
      <c r="H34" s="96"/>
      <c r="I34" s="96"/>
      <c r="J34" s="96"/>
      <c r="K34" s="12"/>
      <c r="L34" s="7"/>
      <c r="M34" s="108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</row>
    <row r="35">
      <c r="A35" s="95"/>
      <c r="B35" s="95"/>
      <c r="C35" s="96"/>
      <c r="D35" s="96"/>
      <c r="E35" s="96"/>
      <c r="F35" s="96"/>
      <c r="G35" s="96"/>
      <c r="H35" s="96"/>
      <c r="I35" s="96"/>
      <c r="J35" s="96"/>
      <c r="K35" s="15"/>
      <c r="M35" s="108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</row>
    <row r="36">
      <c r="A36" s="95"/>
      <c r="B36" s="95"/>
      <c r="C36" s="96"/>
      <c r="D36" s="96"/>
      <c r="E36" s="96"/>
      <c r="F36" s="96"/>
      <c r="G36" s="96"/>
      <c r="H36" s="96"/>
      <c r="I36" s="96"/>
      <c r="J36" s="96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</row>
    <row r="37">
      <c r="A37" s="95"/>
      <c r="B37" s="95"/>
      <c r="C37" s="96"/>
      <c r="D37" s="96"/>
      <c r="E37" s="96"/>
      <c r="F37" s="96"/>
      <c r="G37" s="96"/>
      <c r="H37" s="96"/>
      <c r="I37" s="96"/>
      <c r="J37" s="96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  <c r="AA37" s="97"/>
      <c r="AB37" s="97"/>
      <c r="AC37" s="97"/>
      <c r="AD37" s="97"/>
    </row>
    <row r="38">
      <c r="A38" s="95"/>
      <c r="B38" s="95"/>
      <c r="C38" s="96"/>
      <c r="D38" s="96"/>
      <c r="E38" s="96"/>
      <c r="F38" s="96"/>
      <c r="G38" s="96"/>
      <c r="H38" s="96"/>
      <c r="I38" s="96"/>
      <c r="J38" s="96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  <c r="AA38" s="97"/>
      <c r="AB38" s="97"/>
      <c r="AC38" s="97"/>
      <c r="AD38" s="97"/>
    </row>
    <row r="39">
      <c r="A39" s="95"/>
      <c r="B39" s="95"/>
      <c r="C39" s="96"/>
      <c r="D39" s="96"/>
      <c r="E39" s="96"/>
      <c r="F39" s="96"/>
      <c r="G39" s="96"/>
      <c r="H39" s="96"/>
      <c r="I39" s="96"/>
      <c r="J39" s="96"/>
      <c r="L39" s="13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  <c r="AA39" s="97"/>
      <c r="AB39" s="97"/>
      <c r="AC39" s="97"/>
      <c r="AD39" s="97"/>
    </row>
    <row r="40">
      <c r="A40" s="95"/>
      <c r="B40" s="95"/>
      <c r="C40" s="96"/>
      <c r="D40" s="96"/>
      <c r="E40" s="96"/>
      <c r="F40" s="96"/>
      <c r="G40" s="96"/>
      <c r="H40" s="96"/>
      <c r="I40" s="96"/>
      <c r="J40" s="96"/>
      <c r="K40" s="7"/>
      <c r="L40" s="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  <c r="AA40" s="97"/>
      <c r="AB40" s="97"/>
      <c r="AC40" s="97"/>
      <c r="AD40" s="97"/>
    </row>
    <row r="41">
      <c r="A41" s="95"/>
      <c r="B41" s="95"/>
      <c r="C41" s="96"/>
      <c r="D41" s="96"/>
      <c r="E41" s="96"/>
      <c r="F41" s="96"/>
      <c r="G41" s="96"/>
      <c r="H41" s="96"/>
      <c r="I41" s="96"/>
      <c r="J41" s="96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</row>
    <row r="42">
      <c r="A42" s="95"/>
      <c r="B42" s="95"/>
      <c r="C42" s="96"/>
      <c r="D42" s="96"/>
      <c r="E42" s="96"/>
      <c r="F42" s="96"/>
      <c r="G42" s="96"/>
      <c r="H42" s="96"/>
      <c r="I42" s="96"/>
      <c r="J42" s="96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  <c r="AA42" s="97"/>
      <c r="AB42" s="97"/>
      <c r="AC42" s="97"/>
      <c r="AD42" s="97"/>
    </row>
    <row r="43">
      <c r="A43" s="95"/>
      <c r="B43" s="95"/>
      <c r="C43" s="96"/>
      <c r="D43" s="96"/>
      <c r="E43" s="96"/>
      <c r="F43" s="96"/>
      <c r="G43" s="96"/>
      <c r="H43" s="96"/>
      <c r="I43" s="96"/>
      <c r="J43" s="96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  <c r="AA43" s="97"/>
      <c r="AB43" s="97"/>
      <c r="AC43" s="97"/>
      <c r="AD43" s="97"/>
    </row>
    <row r="44">
      <c r="A44" s="95"/>
      <c r="B44" s="95"/>
      <c r="C44" s="96"/>
      <c r="D44" s="96"/>
      <c r="E44" s="96"/>
      <c r="F44" s="96"/>
      <c r="G44" s="96"/>
      <c r="H44" s="96"/>
      <c r="I44" s="96"/>
      <c r="J44" s="96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  <c r="AA44" s="97"/>
      <c r="AB44" s="97"/>
      <c r="AC44" s="97"/>
      <c r="AD44" s="97"/>
    </row>
    <row r="45">
      <c r="A45" s="95"/>
      <c r="B45" s="95"/>
      <c r="C45" s="96"/>
      <c r="D45" s="96"/>
      <c r="E45" s="96"/>
      <c r="F45" s="96"/>
      <c r="G45" s="96"/>
      <c r="H45" s="96"/>
      <c r="I45" s="96"/>
      <c r="J45" s="96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</row>
    <row r="46">
      <c r="A46" s="95"/>
      <c r="B46" s="95"/>
      <c r="C46" s="96"/>
      <c r="D46" s="96"/>
      <c r="E46" s="96"/>
      <c r="F46" s="96"/>
      <c r="G46" s="96"/>
      <c r="H46" s="96"/>
      <c r="I46" s="96"/>
      <c r="J46" s="96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</row>
    <row r="47">
      <c r="A47" s="95"/>
      <c r="B47" s="95"/>
      <c r="C47" s="96"/>
      <c r="D47" s="96"/>
      <c r="E47" s="96"/>
      <c r="F47" s="96"/>
      <c r="G47" s="96"/>
      <c r="H47" s="96"/>
      <c r="I47" s="96"/>
      <c r="J47" s="96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97"/>
    </row>
    <row r="48">
      <c r="A48" s="95"/>
      <c r="B48" s="95"/>
      <c r="C48" s="96"/>
      <c r="D48" s="96"/>
      <c r="E48" s="96"/>
      <c r="F48" s="96"/>
      <c r="G48" s="96"/>
      <c r="H48" s="96"/>
      <c r="I48" s="96"/>
      <c r="J48" s="96"/>
      <c r="K48" s="95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  <c r="AA48" s="97"/>
      <c r="AB48" s="97"/>
      <c r="AC48" s="97"/>
      <c r="AD48" s="97"/>
    </row>
    <row r="49">
      <c r="A49" s="95"/>
      <c r="B49" s="95"/>
      <c r="C49" s="96"/>
      <c r="D49" s="96"/>
      <c r="E49" s="96"/>
      <c r="F49" s="96"/>
      <c r="G49" s="96"/>
      <c r="H49" s="96"/>
      <c r="I49" s="96"/>
      <c r="J49" s="96"/>
      <c r="K49" s="95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  <c r="AA49" s="97"/>
      <c r="AB49" s="97"/>
      <c r="AC49" s="97"/>
      <c r="AD49" s="97"/>
    </row>
    <row r="50">
      <c r="A50" s="95"/>
      <c r="B50" s="95"/>
      <c r="C50" s="96"/>
      <c r="D50" s="96"/>
      <c r="E50" s="96"/>
      <c r="F50" s="96"/>
      <c r="G50" s="96"/>
      <c r="H50" s="96"/>
      <c r="I50" s="96"/>
      <c r="J50" s="96"/>
      <c r="K50" s="95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  <c r="AA50" s="97"/>
      <c r="AB50" s="97"/>
      <c r="AC50" s="97"/>
      <c r="AD50" s="97"/>
    </row>
    <row r="51">
      <c r="A51" s="95"/>
      <c r="B51" s="95"/>
      <c r="C51" s="96"/>
      <c r="D51" s="96"/>
      <c r="E51" s="96"/>
      <c r="F51" s="96"/>
      <c r="G51" s="96"/>
      <c r="H51" s="96"/>
      <c r="I51" s="96"/>
      <c r="J51" s="96"/>
      <c r="K51" s="95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  <c r="AA51" s="97"/>
      <c r="AB51" s="97"/>
      <c r="AC51" s="97"/>
      <c r="AD51" s="97"/>
    </row>
    <row r="52">
      <c r="A52" s="95"/>
      <c r="B52" s="95"/>
      <c r="C52" s="96"/>
      <c r="D52" s="96"/>
      <c r="E52" s="96"/>
      <c r="F52" s="96"/>
      <c r="G52" s="96"/>
      <c r="H52" s="96"/>
      <c r="I52" s="96"/>
      <c r="J52" s="96"/>
      <c r="K52" s="95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  <c r="AA52" s="97"/>
      <c r="AB52" s="97"/>
      <c r="AC52" s="97"/>
      <c r="AD52" s="97"/>
    </row>
    <row r="53">
      <c r="A53" s="95"/>
      <c r="B53" s="95"/>
      <c r="C53" s="96"/>
      <c r="D53" s="96"/>
      <c r="E53" s="96"/>
      <c r="F53" s="96"/>
      <c r="G53" s="96"/>
      <c r="H53" s="96"/>
      <c r="I53" s="96"/>
      <c r="J53" s="96"/>
      <c r="K53" s="95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7"/>
      <c r="AB53" s="97"/>
      <c r="AC53" s="97"/>
      <c r="AD53" s="97"/>
    </row>
    <row r="54">
      <c r="A54" s="95"/>
      <c r="B54" s="95"/>
      <c r="C54" s="96"/>
      <c r="D54" s="96"/>
      <c r="E54" s="96"/>
      <c r="F54" s="96"/>
      <c r="G54" s="96"/>
      <c r="H54" s="96"/>
      <c r="I54" s="96"/>
      <c r="J54" s="96"/>
      <c r="K54" s="95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  <c r="AA54" s="97"/>
      <c r="AB54" s="97"/>
      <c r="AC54" s="97"/>
      <c r="AD54" s="97"/>
    </row>
    <row r="55">
      <c r="A55" s="98" t="s">
        <v>370</v>
      </c>
      <c r="B55" s="95"/>
      <c r="C55" s="96"/>
      <c r="D55" s="96"/>
      <c r="E55" s="96"/>
      <c r="F55" s="96"/>
      <c r="G55" s="96"/>
      <c r="H55" s="96"/>
      <c r="I55" s="96"/>
      <c r="J55" s="96"/>
      <c r="K55" s="95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97"/>
      <c r="AB55" s="97"/>
      <c r="AC55" s="97"/>
      <c r="AD55" s="97"/>
    </row>
    <row r="56">
      <c r="A56" s="98" t="s">
        <v>371</v>
      </c>
      <c r="B56" s="95"/>
      <c r="C56" s="96"/>
      <c r="D56" s="101" t="s">
        <v>17</v>
      </c>
      <c r="E56" s="140">
        <v>45747.0</v>
      </c>
      <c r="F56" s="96"/>
      <c r="G56" s="103" t="s">
        <v>340</v>
      </c>
      <c r="H56" s="95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</row>
    <row r="57">
      <c r="A57" s="11" t="s">
        <v>342</v>
      </c>
      <c r="B57" s="11" t="s">
        <v>316</v>
      </c>
      <c r="C57" s="19" t="s">
        <v>57</v>
      </c>
      <c r="D57" s="19" t="s">
        <v>345</v>
      </c>
      <c r="E57" s="19" t="s">
        <v>372</v>
      </c>
      <c r="F57" s="141" t="s">
        <v>19</v>
      </c>
      <c r="G57" s="141" t="s">
        <v>347</v>
      </c>
      <c r="H57" s="19" t="s">
        <v>373</v>
      </c>
    </row>
    <row r="58">
      <c r="A58" s="8">
        <v>1.0</v>
      </c>
      <c r="B58" s="142" t="s">
        <v>374</v>
      </c>
      <c r="C58" s="26">
        <v>2105.0</v>
      </c>
      <c r="D58" s="26">
        <v>1033.0</v>
      </c>
      <c r="E58" s="143">
        <f t="shared" ref="E58:E73" si="3">D58/C58</f>
        <v>0.490736342</v>
      </c>
      <c r="F58" s="144">
        <v>0.015277777777777777</v>
      </c>
      <c r="G58" s="144">
        <v>0.010972222222222222</v>
      </c>
      <c r="H58" s="145">
        <f t="shared" ref="H58:H73" si="4">G58/F58</f>
        <v>0.7181818182</v>
      </c>
    </row>
    <row r="59">
      <c r="A59" s="8">
        <v>2.0</v>
      </c>
      <c r="B59" s="142" t="s">
        <v>375</v>
      </c>
      <c r="C59" s="26">
        <v>540.0</v>
      </c>
      <c r="D59" s="26">
        <v>114.0</v>
      </c>
      <c r="E59" s="143">
        <f t="shared" si="3"/>
        <v>0.2111111111</v>
      </c>
      <c r="F59" s="144">
        <v>0.011111111111111112</v>
      </c>
      <c r="G59" s="144">
        <v>0.010231481481481482</v>
      </c>
      <c r="H59" s="145">
        <f t="shared" si="4"/>
        <v>0.9208333333</v>
      </c>
    </row>
    <row r="60">
      <c r="A60" s="146">
        <v>3.0</v>
      </c>
      <c r="B60" s="147" t="s">
        <v>376</v>
      </c>
      <c r="C60" s="148">
        <v>672.0</v>
      </c>
      <c r="D60" s="148">
        <v>216.0</v>
      </c>
      <c r="E60" s="149">
        <f t="shared" si="3"/>
        <v>0.3214285714</v>
      </c>
      <c r="F60" s="150">
        <v>0.013888888888888888</v>
      </c>
      <c r="G60" s="150">
        <v>0.012395833333333333</v>
      </c>
      <c r="H60" s="151">
        <f t="shared" si="4"/>
        <v>0.8925</v>
      </c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</row>
    <row r="61">
      <c r="A61" s="8">
        <v>4.0</v>
      </c>
      <c r="B61" s="142" t="s">
        <v>377</v>
      </c>
      <c r="C61" s="26">
        <v>422.0</v>
      </c>
      <c r="D61" s="26">
        <v>127.0</v>
      </c>
      <c r="E61" s="143">
        <f t="shared" si="3"/>
        <v>0.3009478673</v>
      </c>
      <c r="F61" s="144">
        <v>0.011111111111111112</v>
      </c>
      <c r="G61" s="144">
        <v>0.009872685185185186</v>
      </c>
      <c r="H61" s="145">
        <f t="shared" si="4"/>
        <v>0.8885416667</v>
      </c>
    </row>
    <row r="62">
      <c r="A62" s="8">
        <v>5.0</v>
      </c>
      <c r="B62" s="142" t="s">
        <v>378</v>
      </c>
      <c r="C62" s="26">
        <v>506.0</v>
      </c>
      <c r="D62" s="26">
        <v>156.0</v>
      </c>
      <c r="E62" s="143">
        <f t="shared" si="3"/>
        <v>0.3083003953</v>
      </c>
      <c r="F62" s="144">
        <v>0.01597222222222222</v>
      </c>
      <c r="G62" s="144">
        <v>0.012002314814814815</v>
      </c>
      <c r="H62" s="145">
        <f t="shared" si="4"/>
        <v>0.7514492754</v>
      </c>
    </row>
    <row r="63">
      <c r="A63" s="8">
        <v>6.0</v>
      </c>
      <c r="B63" s="142" t="s">
        <v>379</v>
      </c>
      <c r="C63" s="26">
        <v>620.0</v>
      </c>
      <c r="D63" s="26">
        <v>225.0</v>
      </c>
      <c r="E63" s="143">
        <f t="shared" si="3"/>
        <v>0.3629032258</v>
      </c>
      <c r="F63" s="144">
        <v>0.0125</v>
      </c>
      <c r="G63" s="144">
        <v>0.013020833333333334</v>
      </c>
      <c r="H63" s="145">
        <f t="shared" si="4"/>
        <v>1.041666667</v>
      </c>
    </row>
    <row r="64">
      <c r="A64" s="146">
        <v>7.0</v>
      </c>
      <c r="B64" s="147" t="s">
        <v>380</v>
      </c>
      <c r="C64" s="148">
        <v>598.0</v>
      </c>
      <c r="D64" s="148">
        <v>221.0</v>
      </c>
      <c r="E64" s="149">
        <f t="shared" si="3"/>
        <v>0.3695652174</v>
      </c>
      <c r="F64" s="150">
        <v>0.013888888888888888</v>
      </c>
      <c r="G64" s="150">
        <v>0.014328703703703703</v>
      </c>
      <c r="H64" s="151">
        <f t="shared" si="4"/>
        <v>1.031666667</v>
      </c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</row>
    <row r="65">
      <c r="A65" s="8">
        <v>8.0</v>
      </c>
      <c r="B65" s="142" t="s">
        <v>381</v>
      </c>
      <c r="C65" s="26">
        <v>362.0</v>
      </c>
      <c r="D65" s="26">
        <v>97.0</v>
      </c>
      <c r="E65" s="143">
        <f t="shared" si="3"/>
        <v>0.2679558011</v>
      </c>
      <c r="F65" s="144">
        <v>0.013194444444444444</v>
      </c>
      <c r="G65" s="144">
        <v>0.013020833333333334</v>
      </c>
      <c r="H65" s="145">
        <f t="shared" si="4"/>
        <v>0.9868421053</v>
      </c>
    </row>
    <row r="66">
      <c r="A66" s="8">
        <v>9.0</v>
      </c>
      <c r="B66" s="142" t="s">
        <v>382</v>
      </c>
      <c r="C66" s="26">
        <v>343.0</v>
      </c>
      <c r="D66" s="26">
        <v>111.0</v>
      </c>
      <c r="E66" s="143">
        <f t="shared" si="3"/>
        <v>0.3236151603</v>
      </c>
      <c r="F66" s="144">
        <v>0.017361111111111112</v>
      </c>
      <c r="G66" s="144">
        <v>0.015150462962962963</v>
      </c>
      <c r="H66" s="145">
        <f t="shared" si="4"/>
        <v>0.8726666667</v>
      </c>
    </row>
    <row r="67">
      <c r="A67" s="8">
        <v>10.0</v>
      </c>
      <c r="B67" s="142" t="s">
        <v>383</v>
      </c>
      <c r="C67" s="26">
        <v>397.0</v>
      </c>
      <c r="D67" s="26">
        <v>144.0</v>
      </c>
      <c r="E67" s="143">
        <f t="shared" si="3"/>
        <v>0.362720403</v>
      </c>
      <c r="F67" s="144">
        <v>0.014583333333333334</v>
      </c>
      <c r="G67" s="144">
        <v>0.013275462962962963</v>
      </c>
      <c r="H67" s="145">
        <f t="shared" si="4"/>
        <v>0.9103174603</v>
      </c>
    </row>
    <row r="68">
      <c r="A68" s="146">
        <v>11.0</v>
      </c>
      <c r="B68" s="147" t="s">
        <v>384</v>
      </c>
      <c r="C68" s="148">
        <v>446.0</v>
      </c>
      <c r="D68" s="148">
        <v>167.0</v>
      </c>
      <c r="E68" s="149">
        <f t="shared" si="3"/>
        <v>0.3744394619</v>
      </c>
      <c r="F68" s="150">
        <v>0.017361111111111112</v>
      </c>
      <c r="G68" s="150">
        <v>0.016550925925925927</v>
      </c>
      <c r="H68" s="151">
        <f t="shared" si="4"/>
        <v>0.9533333333</v>
      </c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</row>
    <row r="69">
      <c r="A69" s="8">
        <v>12.0</v>
      </c>
      <c r="B69" s="142" t="s">
        <v>385</v>
      </c>
      <c r="C69" s="26">
        <v>280.0</v>
      </c>
      <c r="D69" s="26">
        <v>77.0</v>
      </c>
      <c r="E69" s="143">
        <f t="shared" si="3"/>
        <v>0.275</v>
      </c>
      <c r="F69" s="144">
        <v>0.013194444444444444</v>
      </c>
      <c r="G69" s="144">
        <v>0.010868055555555556</v>
      </c>
      <c r="H69" s="145">
        <f t="shared" si="4"/>
        <v>0.8236842105</v>
      </c>
    </row>
    <row r="70">
      <c r="A70" s="8">
        <v>13.0</v>
      </c>
      <c r="B70" s="142" t="s">
        <v>386</v>
      </c>
      <c r="C70" s="26">
        <v>373.0</v>
      </c>
      <c r="D70" s="26">
        <v>110.0</v>
      </c>
      <c r="E70" s="143">
        <f t="shared" si="3"/>
        <v>0.2949061662</v>
      </c>
      <c r="F70" s="144">
        <v>0.0125</v>
      </c>
      <c r="G70" s="144">
        <v>0.010543981481481482</v>
      </c>
      <c r="H70" s="145">
        <f t="shared" si="4"/>
        <v>0.8435185185</v>
      </c>
    </row>
    <row r="71">
      <c r="A71" s="8">
        <v>14.0</v>
      </c>
      <c r="B71" s="142" t="s">
        <v>387</v>
      </c>
      <c r="C71" s="26">
        <v>397.0</v>
      </c>
      <c r="D71" s="26">
        <v>132.0</v>
      </c>
      <c r="E71" s="143">
        <f t="shared" si="3"/>
        <v>0.3324937028</v>
      </c>
      <c r="F71" s="144">
        <v>0.013888888888888888</v>
      </c>
      <c r="G71" s="144">
        <v>0.012361111111111111</v>
      </c>
      <c r="H71" s="145">
        <f t="shared" si="4"/>
        <v>0.89</v>
      </c>
    </row>
    <row r="72">
      <c r="A72" s="146">
        <v>15.0</v>
      </c>
      <c r="B72" s="147" t="s">
        <v>388</v>
      </c>
      <c r="C72" s="148">
        <v>306.0</v>
      </c>
      <c r="D72" s="148">
        <v>86.0</v>
      </c>
      <c r="E72" s="149">
        <f t="shared" si="3"/>
        <v>0.2810457516</v>
      </c>
      <c r="F72" s="150">
        <v>0.010416666666666666</v>
      </c>
      <c r="G72" s="150">
        <v>0.0069328703703703705</v>
      </c>
      <c r="H72" s="151">
        <f t="shared" si="4"/>
        <v>0.6655555556</v>
      </c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</row>
    <row r="73">
      <c r="A73" s="8">
        <v>16.0</v>
      </c>
      <c r="B73" s="142" t="s">
        <v>389</v>
      </c>
      <c r="C73" s="26">
        <v>326.0</v>
      </c>
      <c r="D73" s="26">
        <v>75.0</v>
      </c>
      <c r="E73" s="143">
        <f t="shared" si="3"/>
        <v>0.2300613497</v>
      </c>
      <c r="F73" s="144">
        <v>0.015277777777777777</v>
      </c>
      <c r="G73" s="144">
        <v>0.010821759259259258</v>
      </c>
      <c r="H73" s="145">
        <f t="shared" si="4"/>
        <v>0.7083333333</v>
      </c>
    </row>
    <row r="74">
      <c r="B74" s="20" t="s">
        <v>390</v>
      </c>
      <c r="C74" s="153">
        <f t="shared" ref="C74:E74" si="5">AVERAGE(C58:C73)</f>
        <v>543.3125</v>
      </c>
      <c r="D74" s="153">
        <f t="shared" si="5"/>
        <v>193.1875</v>
      </c>
      <c r="E74" s="154">
        <f t="shared" si="5"/>
        <v>0.3192019079</v>
      </c>
      <c r="F74" s="155"/>
      <c r="G74" s="156">
        <f t="shared" ref="G74:H74" si="6">AVERAGE(G58:G73)</f>
        <v>0.01202184606</v>
      </c>
      <c r="H74" s="154">
        <f t="shared" si="6"/>
        <v>0.8686931631</v>
      </c>
    </row>
    <row r="97">
      <c r="A97" s="7" t="s">
        <v>391</v>
      </c>
    </row>
    <row r="98">
      <c r="A98" s="157" t="s">
        <v>392</v>
      </c>
      <c r="B98" s="157" t="s">
        <v>393</v>
      </c>
      <c r="C98" s="157" t="s">
        <v>394</v>
      </c>
      <c r="D98" s="157" t="s">
        <v>395</v>
      </c>
      <c r="E98" s="158"/>
      <c r="F98" s="158"/>
      <c r="G98" s="157"/>
      <c r="H98" s="157" t="s">
        <v>396</v>
      </c>
      <c r="I98" s="157"/>
      <c r="J98" s="157" t="s">
        <v>397</v>
      </c>
      <c r="K98" s="157" t="s">
        <v>398</v>
      </c>
      <c r="L98" s="158"/>
      <c r="M98" s="159"/>
      <c r="N98" s="159"/>
      <c r="O98" s="159"/>
      <c r="P98" s="159"/>
      <c r="Q98" s="159"/>
      <c r="R98" s="159"/>
      <c r="S98" s="159"/>
      <c r="T98" s="159"/>
      <c r="U98" s="159"/>
      <c r="V98" s="159"/>
      <c r="W98" s="159"/>
      <c r="X98" s="159"/>
      <c r="Y98" s="159"/>
      <c r="Z98" s="159"/>
      <c r="AA98" s="159"/>
      <c r="AB98" s="159"/>
      <c r="AC98" s="159"/>
      <c r="AD98" s="159"/>
    </row>
    <row r="99">
      <c r="A99" s="26">
        <v>2607.0</v>
      </c>
      <c r="B99" s="26">
        <v>1240.0</v>
      </c>
      <c r="C99" s="26">
        <v>1297.0</v>
      </c>
      <c r="D99" s="26">
        <v>556.0</v>
      </c>
      <c r="E99" s="160"/>
      <c r="F99" s="160">
        <f>D99/C99</f>
        <v>0.4286815729</v>
      </c>
      <c r="I99" s="26"/>
      <c r="J99" s="26">
        <v>1665.0</v>
      </c>
      <c r="K99" s="26">
        <v>94.0</v>
      </c>
      <c r="L99" s="159"/>
      <c r="M99" s="159"/>
      <c r="N99" s="159"/>
      <c r="O99" s="159"/>
      <c r="P99" s="159"/>
      <c r="Q99" s="159"/>
      <c r="R99" s="159"/>
      <c r="S99" s="159"/>
      <c r="T99" s="159"/>
      <c r="U99" s="159"/>
      <c r="V99" s="159"/>
      <c r="W99" s="159"/>
      <c r="X99" s="159"/>
      <c r="Y99" s="159"/>
      <c r="Z99" s="159"/>
      <c r="AA99" s="159"/>
      <c r="AB99" s="159"/>
      <c r="AC99" s="159"/>
      <c r="AD99" s="159"/>
    </row>
  </sheetData>
  <hyperlinks>
    <hyperlink r:id="rId1" ref="G3"/>
    <hyperlink r:id="rId2" ref="H3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G56"/>
    <hyperlink r:id="rId20" ref="B58"/>
    <hyperlink r:id="rId21" ref="B59"/>
    <hyperlink r:id="rId22" ref="B60"/>
    <hyperlink r:id="rId23" ref="B61"/>
    <hyperlink r:id="rId24" ref="B62"/>
    <hyperlink r:id="rId25" ref="B63"/>
    <hyperlink r:id="rId26" ref="B64"/>
    <hyperlink r:id="rId27" ref="B65"/>
    <hyperlink r:id="rId28" ref="B66"/>
    <hyperlink r:id="rId29" ref="B67"/>
    <hyperlink r:id="rId30" ref="B68"/>
    <hyperlink r:id="rId31" ref="B69"/>
    <hyperlink r:id="rId32" ref="B70"/>
    <hyperlink r:id="rId33" ref="B71"/>
    <hyperlink r:id="rId34" ref="B72"/>
    <hyperlink r:id="rId35" ref="B73"/>
  </hyperlinks>
  <drawing r:id="rId3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5.13"/>
    <col customWidth="1" min="8" max="8" width="15.25"/>
    <col customWidth="1" min="11" max="11" width="22.0"/>
  </cols>
  <sheetData>
    <row r="1">
      <c r="A1" s="7" t="s">
        <v>336</v>
      </c>
      <c r="B1" s="73"/>
      <c r="C1" s="75"/>
      <c r="D1" s="75"/>
      <c r="E1" s="75"/>
      <c r="F1" s="75"/>
      <c r="G1" s="75"/>
      <c r="H1" s="75"/>
      <c r="I1" s="75"/>
      <c r="J1" s="75"/>
      <c r="K1" s="73"/>
      <c r="L1" s="75"/>
      <c r="M1" s="75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161"/>
    </row>
    <row r="2">
      <c r="A2" s="162" t="s">
        <v>399</v>
      </c>
      <c r="B2" s="73"/>
      <c r="C2" s="75"/>
      <c r="D2" s="75"/>
      <c r="E2" s="75"/>
      <c r="F2" s="75"/>
      <c r="G2" s="75"/>
      <c r="H2" s="75"/>
      <c r="I2" s="75"/>
      <c r="J2" s="75"/>
      <c r="K2" s="73"/>
      <c r="L2" s="75"/>
      <c r="M2" s="75"/>
      <c r="N2" s="161"/>
      <c r="O2" s="161"/>
      <c r="P2" s="161"/>
      <c r="Q2" s="161"/>
      <c r="R2" s="161"/>
      <c r="S2" s="161"/>
      <c r="T2" s="161"/>
      <c r="U2" s="161"/>
      <c r="V2" s="161"/>
      <c r="W2" s="161"/>
      <c r="X2" s="161"/>
      <c r="Y2" s="161"/>
      <c r="Z2" s="161"/>
      <c r="AA2" s="161"/>
      <c r="AB2" s="161"/>
      <c r="AC2" s="161"/>
      <c r="AD2" s="161"/>
    </row>
    <row r="3">
      <c r="A3" s="162" t="s">
        <v>400</v>
      </c>
      <c r="B3" s="73"/>
      <c r="C3" s="163" t="s">
        <v>17</v>
      </c>
      <c r="D3" s="100">
        <v>46053.0</v>
      </c>
      <c r="E3" s="101" t="s">
        <v>339</v>
      </c>
      <c r="F3" s="102">
        <v>46053.0</v>
      </c>
      <c r="G3" s="164" t="s">
        <v>340</v>
      </c>
      <c r="H3" s="164" t="s">
        <v>401</v>
      </c>
      <c r="I3" s="75"/>
      <c r="J3" s="75"/>
      <c r="K3" s="73"/>
      <c r="L3" s="75"/>
      <c r="M3" s="75"/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1"/>
      <c r="AC3" s="161"/>
      <c r="AD3" s="161"/>
    </row>
    <row r="4">
      <c r="A4" s="165" t="s">
        <v>342</v>
      </c>
      <c r="B4" s="166" t="s">
        <v>316</v>
      </c>
      <c r="C4" s="167" t="s">
        <v>343</v>
      </c>
      <c r="D4" s="167" t="s">
        <v>57</v>
      </c>
      <c r="E4" s="167" t="s">
        <v>344</v>
      </c>
      <c r="F4" s="167" t="s">
        <v>345</v>
      </c>
      <c r="G4" s="167" t="s">
        <v>346</v>
      </c>
      <c r="H4" s="167" t="s">
        <v>19</v>
      </c>
      <c r="I4" s="167" t="s">
        <v>347</v>
      </c>
      <c r="J4" s="167" t="s">
        <v>348</v>
      </c>
      <c r="K4" s="166" t="s">
        <v>349</v>
      </c>
      <c r="L4" s="37" t="s">
        <v>402</v>
      </c>
      <c r="M4" s="165" t="s">
        <v>350</v>
      </c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</row>
    <row r="5">
      <c r="A5" s="168">
        <v>1.0</v>
      </c>
      <c r="B5" s="76" t="s">
        <v>318</v>
      </c>
      <c r="C5" s="70">
        <v>2371.0</v>
      </c>
      <c r="D5" s="70">
        <v>950.0</v>
      </c>
      <c r="E5" s="70">
        <v>1131.0</v>
      </c>
      <c r="F5" s="70">
        <v>621.0</v>
      </c>
      <c r="G5" s="71">
        <f t="shared" ref="G5:G20" si="1">F5/D5</f>
        <v>0.6536842105</v>
      </c>
      <c r="H5" s="72">
        <v>0.01443287037037037</v>
      </c>
      <c r="I5" s="72">
        <v>0.00568287037037037</v>
      </c>
      <c r="J5" s="71">
        <f t="shared" ref="J5:J20" si="2">I5/H5</f>
        <v>0.393744988</v>
      </c>
      <c r="K5" s="73" t="s">
        <v>319</v>
      </c>
      <c r="L5" s="74">
        <v>350.0</v>
      </c>
      <c r="M5" s="75"/>
      <c r="N5" s="169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161"/>
      <c r="AB5" s="161"/>
      <c r="AC5" s="161"/>
      <c r="AD5" s="161"/>
    </row>
    <row r="6">
      <c r="A6" s="170">
        <v>2.0</v>
      </c>
      <c r="B6" s="76" t="s">
        <v>320</v>
      </c>
      <c r="C6" s="58">
        <v>1090.0</v>
      </c>
      <c r="D6" s="58">
        <v>536.0</v>
      </c>
      <c r="E6" s="58">
        <v>407.0</v>
      </c>
      <c r="F6" s="58">
        <v>284.0</v>
      </c>
      <c r="G6" s="43">
        <f t="shared" si="1"/>
        <v>0.5298507463</v>
      </c>
      <c r="H6" s="72">
        <v>0.014178240740740741</v>
      </c>
      <c r="I6" s="72">
        <v>0.010821759259259258</v>
      </c>
      <c r="J6" s="43">
        <f t="shared" si="2"/>
        <v>0.7632653061</v>
      </c>
      <c r="K6" s="73" t="s">
        <v>321</v>
      </c>
      <c r="L6" s="55">
        <v>350.0</v>
      </c>
      <c r="M6" s="77"/>
      <c r="N6" s="4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</row>
    <row r="7">
      <c r="A7" s="171">
        <v>3.0</v>
      </c>
      <c r="B7" s="79" t="s">
        <v>322</v>
      </c>
      <c r="C7" s="80">
        <v>1490.0</v>
      </c>
      <c r="D7" s="81">
        <v>736.0</v>
      </c>
      <c r="E7" s="80">
        <v>660.0</v>
      </c>
      <c r="F7" s="80">
        <v>459.0</v>
      </c>
      <c r="G7" s="82">
        <f t="shared" si="1"/>
        <v>0.6236413043</v>
      </c>
      <c r="H7" s="83">
        <v>0.018391203703703705</v>
      </c>
      <c r="I7" s="83">
        <v>0.011180555555555555</v>
      </c>
      <c r="J7" s="82">
        <f t="shared" si="2"/>
        <v>0.6079295154</v>
      </c>
      <c r="K7" s="84" t="s">
        <v>323</v>
      </c>
      <c r="L7" s="85">
        <v>600.0</v>
      </c>
      <c r="M7" s="85" t="s">
        <v>324</v>
      </c>
      <c r="N7" s="172"/>
      <c r="O7" s="173"/>
      <c r="P7" s="173"/>
      <c r="Q7" s="173"/>
      <c r="R7" s="173"/>
      <c r="S7" s="173"/>
      <c r="T7" s="173"/>
      <c r="U7" s="173"/>
      <c r="V7" s="173"/>
      <c r="W7" s="173"/>
      <c r="X7" s="173"/>
      <c r="Y7" s="173"/>
      <c r="Z7" s="173"/>
      <c r="AA7" s="173"/>
      <c r="AB7" s="173"/>
      <c r="AC7" s="173"/>
      <c r="AD7" s="173"/>
    </row>
    <row r="8">
      <c r="A8" s="174">
        <v>4.0</v>
      </c>
      <c r="B8" s="87" t="s">
        <v>325</v>
      </c>
      <c r="C8" s="88">
        <v>386.0</v>
      </c>
      <c r="D8" s="88">
        <v>250.0</v>
      </c>
      <c r="E8" s="88">
        <v>195.0</v>
      </c>
      <c r="F8" s="88">
        <v>152.0</v>
      </c>
      <c r="G8" s="89">
        <f t="shared" si="1"/>
        <v>0.608</v>
      </c>
      <c r="H8" s="90">
        <v>0.008344907407407407</v>
      </c>
      <c r="I8" s="90">
        <v>0.006435185185185185</v>
      </c>
      <c r="J8" s="89">
        <f t="shared" si="2"/>
        <v>0.7711511789</v>
      </c>
      <c r="K8" s="91" t="s">
        <v>326</v>
      </c>
      <c r="L8" s="92"/>
      <c r="M8" s="93"/>
      <c r="N8" s="175"/>
      <c r="O8" s="175"/>
      <c r="P8" s="175"/>
      <c r="Q8" s="175"/>
      <c r="R8" s="175"/>
      <c r="S8" s="175"/>
      <c r="T8" s="175"/>
      <c r="U8" s="175"/>
      <c r="V8" s="175"/>
      <c r="W8" s="175"/>
      <c r="X8" s="175"/>
      <c r="Y8" s="175"/>
      <c r="Z8" s="175"/>
      <c r="AA8" s="175"/>
      <c r="AB8" s="175"/>
      <c r="AC8" s="175"/>
      <c r="AD8" s="175"/>
    </row>
    <row r="9">
      <c r="A9" s="168">
        <v>5.0</v>
      </c>
      <c r="B9" s="76" t="s">
        <v>327</v>
      </c>
      <c r="C9" s="70">
        <v>336.0</v>
      </c>
      <c r="D9" s="70">
        <v>170.0</v>
      </c>
      <c r="E9" s="70">
        <v>125.0</v>
      </c>
      <c r="F9" s="70">
        <v>86.0</v>
      </c>
      <c r="G9" s="71">
        <f t="shared" si="1"/>
        <v>0.5058823529</v>
      </c>
      <c r="H9" s="72">
        <v>0.011770833333333333</v>
      </c>
      <c r="I9" s="72">
        <v>0.010729166666666666</v>
      </c>
      <c r="J9" s="71">
        <f t="shared" si="2"/>
        <v>0.9115044248</v>
      </c>
      <c r="K9" s="73" t="s">
        <v>319</v>
      </c>
      <c r="L9" s="74">
        <v>350.0</v>
      </c>
      <c r="M9" s="75"/>
      <c r="N9" s="161"/>
      <c r="O9" s="161"/>
      <c r="P9" s="161"/>
      <c r="Q9" s="161"/>
      <c r="R9" s="161"/>
      <c r="S9" s="161"/>
      <c r="T9" s="161"/>
      <c r="U9" s="161"/>
      <c r="V9" s="161"/>
      <c r="W9" s="161"/>
      <c r="X9" s="161"/>
      <c r="Y9" s="161"/>
      <c r="Z9" s="161"/>
      <c r="AA9" s="161"/>
      <c r="AB9" s="161"/>
      <c r="AC9" s="161"/>
      <c r="AD9" s="161"/>
    </row>
    <row r="10">
      <c r="A10" s="168">
        <v>6.0</v>
      </c>
      <c r="B10" s="76" t="s">
        <v>328</v>
      </c>
      <c r="C10" s="70">
        <v>976.0</v>
      </c>
      <c r="D10" s="70">
        <v>485.0</v>
      </c>
      <c r="E10" s="70">
        <v>422.0</v>
      </c>
      <c r="F10" s="70">
        <v>285.0</v>
      </c>
      <c r="G10" s="71">
        <f t="shared" si="1"/>
        <v>0.587628866</v>
      </c>
      <c r="H10" s="72">
        <v>0.014467592592592593</v>
      </c>
      <c r="I10" s="72">
        <v>0.008645833333333333</v>
      </c>
      <c r="J10" s="71">
        <f t="shared" si="2"/>
        <v>0.5976</v>
      </c>
      <c r="K10" s="73" t="s">
        <v>321</v>
      </c>
      <c r="L10" s="74">
        <v>350.0</v>
      </c>
      <c r="M10" s="75"/>
      <c r="N10" s="169"/>
      <c r="O10" s="161"/>
      <c r="P10" s="161"/>
      <c r="Q10" s="161"/>
      <c r="R10" s="161"/>
      <c r="S10" s="161"/>
      <c r="T10" s="161"/>
      <c r="U10" s="161"/>
      <c r="V10" s="161"/>
      <c r="W10" s="161"/>
      <c r="X10" s="161"/>
      <c r="Y10" s="161"/>
      <c r="Z10" s="161"/>
      <c r="AA10" s="161"/>
      <c r="AB10" s="161"/>
      <c r="AC10" s="161"/>
      <c r="AD10" s="161"/>
    </row>
    <row r="11">
      <c r="A11" s="171">
        <v>7.0</v>
      </c>
      <c r="B11" s="79" t="s">
        <v>329</v>
      </c>
      <c r="C11" s="80">
        <v>1671.0</v>
      </c>
      <c r="D11" s="81">
        <v>797.0</v>
      </c>
      <c r="E11" s="80">
        <v>832.0</v>
      </c>
      <c r="F11" s="80">
        <v>570.0</v>
      </c>
      <c r="G11" s="82">
        <f t="shared" si="1"/>
        <v>0.7151819322</v>
      </c>
      <c r="H11" s="83">
        <v>0.017314814814814814</v>
      </c>
      <c r="I11" s="83">
        <v>0.010046296296296296</v>
      </c>
      <c r="J11" s="82">
        <f t="shared" si="2"/>
        <v>0.5802139037</v>
      </c>
      <c r="K11" s="84" t="s">
        <v>323</v>
      </c>
      <c r="L11" s="85">
        <v>600.0</v>
      </c>
      <c r="M11" s="85" t="s">
        <v>324</v>
      </c>
      <c r="N11" s="176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</row>
    <row r="12">
      <c r="A12" s="174">
        <v>8.0</v>
      </c>
      <c r="B12" s="87" t="s">
        <v>325</v>
      </c>
      <c r="C12" s="88">
        <v>408.0</v>
      </c>
      <c r="D12" s="88">
        <v>274.0</v>
      </c>
      <c r="E12" s="88">
        <v>245.0</v>
      </c>
      <c r="F12" s="88">
        <v>194.0</v>
      </c>
      <c r="G12" s="89">
        <f t="shared" si="1"/>
        <v>0.7080291971</v>
      </c>
      <c r="H12" s="90">
        <v>0.011134259259259259</v>
      </c>
      <c r="I12" s="90">
        <v>0.007453703703703704</v>
      </c>
      <c r="J12" s="89">
        <f t="shared" si="2"/>
        <v>0.6694386694</v>
      </c>
      <c r="K12" s="91" t="s">
        <v>326</v>
      </c>
      <c r="L12" s="92"/>
      <c r="M12" s="93"/>
      <c r="N12" s="175"/>
      <c r="O12" s="175"/>
      <c r="P12" s="175"/>
      <c r="Q12" s="175"/>
      <c r="R12" s="175"/>
      <c r="S12" s="175"/>
      <c r="T12" s="175"/>
      <c r="U12" s="175"/>
      <c r="V12" s="175"/>
      <c r="W12" s="175"/>
      <c r="X12" s="175"/>
      <c r="Y12" s="175"/>
      <c r="Z12" s="175"/>
      <c r="AA12" s="175"/>
      <c r="AB12" s="175"/>
      <c r="AC12" s="175"/>
      <c r="AD12" s="175"/>
    </row>
    <row r="13">
      <c r="A13" s="168">
        <v>9.0</v>
      </c>
      <c r="B13" s="76" t="s">
        <v>330</v>
      </c>
      <c r="C13" s="70">
        <v>618.0</v>
      </c>
      <c r="D13" s="70">
        <v>317.0</v>
      </c>
      <c r="E13" s="70">
        <v>331.0</v>
      </c>
      <c r="F13" s="70">
        <v>215.0</v>
      </c>
      <c r="G13" s="71">
        <f t="shared" si="1"/>
        <v>0.6782334385</v>
      </c>
      <c r="H13" s="72">
        <v>0.014814814814814815</v>
      </c>
      <c r="I13" s="72">
        <v>0.012291666666666666</v>
      </c>
      <c r="J13" s="71">
        <f t="shared" si="2"/>
        <v>0.8296875</v>
      </c>
      <c r="K13" s="73" t="s">
        <v>319</v>
      </c>
      <c r="L13" s="74">
        <v>350.0</v>
      </c>
      <c r="M13" s="75"/>
      <c r="N13" s="169"/>
      <c r="O13" s="161"/>
      <c r="P13" s="161"/>
      <c r="Q13" s="161"/>
      <c r="R13" s="161"/>
      <c r="S13" s="161"/>
      <c r="T13" s="161"/>
      <c r="U13" s="161"/>
      <c r="V13" s="161"/>
      <c r="W13" s="161"/>
      <c r="X13" s="161"/>
      <c r="Y13" s="161"/>
      <c r="Z13" s="161"/>
      <c r="AA13" s="161"/>
      <c r="AB13" s="161"/>
      <c r="AC13" s="161"/>
      <c r="AD13" s="161"/>
    </row>
    <row r="14">
      <c r="A14" s="168">
        <v>10.0</v>
      </c>
      <c r="B14" s="76" t="s">
        <v>331</v>
      </c>
      <c r="C14" s="70">
        <v>348.0</v>
      </c>
      <c r="D14" s="70">
        <v>210.0</v>
      </c>
      <c r="E14" s="70">
        <v>150.0</v>
      </c>
      <c r="F14" s="70">
        <v>108.0</v>
      </c>
      <c r="G14" s="71">
        <f t="shared" si="1"/>
        <v>0.5142857143</v>
      </c>
      <c r="H14" s="72">
        <v>0.015289351851851853</v>
      </c>
      <c r="I14" s="72">
        <v>0.010729166666666666</v>
      </c>
      <c r="J14" s="71">
        <f t="shared" si="2"/>
        <v>0.7017411052</v>
      </c>
      <c r="K14" s="73" t="s">
        <v>321</v>
      </c>
      <c r="L14" s="74">
        <v>350.0</v>
      </c>
      <c r="M14" s="75"/>
      <c r="N14" s="169"/>
      <c r="O14" s="161"/>
      <c r="P14" s="161"/>
      <c r="Q14" s="161"/>
      <c r="R14" s="161"/>
      <c r="S14" s="161"/>
      <c r="T14" s="161"/>
      <c r="U14" s="161"/>
      <c r="V14" s="161"/>
      <c r="W14" s="161"/>
      <c r="X14" s="161"/>
      <c r="Y14" s="161"/>
      <c r="Z14" s="161"/>
      <c r="AA14" s="161"/>
      <c r="AB14" s="161"/>
      <c r="AC14" s="161"/>
      <c r="AD14" s="161"/>
    </row>
    <row r="15">
      <c r="A15" s="171">
        <v>11.0</v>
      </c>
      <c r="B15" s="79" t="s">
        <v>332</v>
      </c>
      <c r="C15" s="80">
        <v>809.0</v>
      </c>
      <c r="D15" s="81">
        <v>446.0</v>
      </c>
      <c r="E15" s="80">
        <v>378.0</v>
      </c>
      <c r="F15" s="80">
        <v>283.0</v>
      </c>
      <c r="G15" s="82">
        <f t="shared" si="1"/>
        <v>0.634529148</v>
      </c>
      <c r="H15" s="83">
        <v>0.016180555555555556</v>
      </c>
      <c r="I15" s="83">
        <v>0.0084375</v>
      </c>
      <c r="J15" s="82">
        <f t="shared" si="2"/>
        <v>0.5214592275</v>
      </c>
      <c r="K15" s="84" t="s">
        <v>323</v>
      </c>
      <c r="L15" s="85">
        <v>600.0</v>
      </c>
      <c r="M15" s="85" t="s">
        <v>324</v>
      </c>
      <c r="N15" s="176"/>
      <c r="O15" s="177"/>
      <c r="P15" s="177"/>
      <c r="Q15" s="177"/>
      <c r="R15" s="177"/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</row>
    <row r="16">
      <c r="A16" s="174">
        <v>12.0</v>
      </c>
      <c r="B16" s="87" t="s">
        <v>325</v>
      </c>
      <c r="C16" s="88">
        <v>198.0</v>
      </c>
      <c r="D16" s="88">
        <v>134.0</v>
      </c>
      <c r="E16" s="88">
        <v>94.0</v>
      </c>
      <c r="F16" s="88">
        <v>78.0</v>
      </c>
      <c r="G16" s="89">
        <f t="shared" si="1"/>
        <v>0.5820895522</v>
      </c>
      <c r="H16" s="90">
        <v>0.00837962962962963</v>
      </c>
      <c r="I16" s="90">
        <v>0.006863425925925926</v>
      </c>
      <c r="J16" s="89">
        <f t="shared" si="2"/>
        <v>0.8190607735</v>
      </c>
      <c r="K16" s="91" t="s">
        <v>326</v>
      </c>
      <c r="L16" s="92"/>
      <c r="M16" s="93"/>
      <c r="N16" s="175"/>
      <c r="O16" s="175"/>
      <c r="P16" s="175"/>
      <c r="Q16" s="175"/>
      <c r="R16" s="175"/>
      <c r="S16" s="175"/>
      <c r="T16" s="175"/>
      <c r="U16" s="175"/>
      <c r="V16" s="175"/>
      <c r="W16" s="175"/>
      <c r="X16" s="175"/>
      <c r="Y16" s="175"/>
      <c r="Z16" s="175"/>
      <c r="AA16" s="175"/>
      <c r="AB16" s="175"/>
      <c r="AC16" s="175"/>
      <c r="AD16" s="175"/>
    </row>
    <row r="17">
      <c r="A17" s="168">
        <v>13.0</v>
      </c>
      <c r="B17" s="76" t="s">
        <v>333</v>
      </c>
      <c r="C17" s="70">
        <v>412.0</v>
      </c>
      <c r="D17" s="70">
        <v>208.0</v>
      </c>
      <c r="E17" s="70">
        <v>157.0</v>
      </c>
      <c r="F17" s="70">
        <v>98.0</v>
      </c>
      <c r="G17" s="71">
        <f t="shared" si="1"/>
        <v>0.4711538462</v>
      </c>
      <c r="H17" s="72">
        <v>0.01462962962962963</v>
      </c>
      <c r="I17" s="72">
        <v>0.013136574074074075</v>
      </c>
      <c r="J17" s="71">
        <f t="shared" si="2"/>
        <v>0.897943038</v>
      </c>
      <c r="K17" s="73" t="s">
        <v>319</v>
      </c>
      <c r="L17" s="74">
        <v>350.0</v>
      </c>
      <c r="M17" s="75"/>
      <c r="N17" s="169"/>
      <c r="O17" s="161"/>
      <c r="P17" s="161"/>
      <c r="Q17" s="161"/>
      <c r="R17" s="161"/>
      <c r="S17" s="161"/>
      <c r="T17" s="161"/>
      <c r="U17" s="161"/>
      <c r="V17" s="161"/>
      <c r="W17" s="161"/>
      <c r="X17" s="161"/>
      <c r="Y17" s="161"/>
      <c r="Z17" s="161"/>
      <c r="AA17" s="161"/>
      <c r="AB17" s="161"/>
      <c r="AC17" s="161"/>
      <c r="AD17" s="161"/>
    </row>
    <row r="18">
      <c r="A18" s="168">
        <v>14.0</v>
      </c>
      <c r="B18" s="76" t="s">
        <v>334</v>
      </c>
      <c r="C18" s="70">
        <v>1125.0</v>
      </c>
      <c r="D18" s="70">
        <v>504.0</v>
      </c>
      <c r="E18" s="70">
        <v>544.0</v>
      </c>
      <c r="F18" s="70">
        <v>334.0</v>
      </c>
      <c r="G18" s="71">
        <f t="shared" si="1"/>
        <v>0.6626984127</v>
      </c>
      <c r="H18" s="72">
        <v>0.016886574074074075</v>
      </c>
      <c r="I18" s="72">
        <v>0.012488425925925925</v>
      </c>
      <c r="J18" s="71">
        <f t="shared" si="2"/>
        <v>0.7395476354</v>
      </c>
      <c r="K18" s="73" t="s">
        <v>321</v>
      </c>
      <c r="L18" s="74">
        <v>350.0</v>
      </c>
      <c r="M18" s="75"/>
      <c r="N18" s="169"/>
      <c r="O18" s="161"/>
      <c r="P18" s="161"/>
      <c r="Q18" s="161"/>
      <c r="R18" s="161"/>
      <c r="S18" s="161"/>
      <c r="T18" s="161"/>
      <c r="U18" s="161"/>
      <c r="V18" s="161"/>
      <c r="W18" s="161"/>
      <c r="X18" s="161"/>
      <c r="Y18" s="161"/>
      <c r="Z18" s="161"/>
      <c r="AA18" s="161"/>
      <c r="AB18" s="161"/>
      <c r="AC18" s="161"/>
      <c r="AD18" s="161"/>
    </row>
    <row r="19">
      <c r="A19" s="171">
        <v>15.0</v>
      </c>
      <c r="B19" s="79" t="s">
        <v>335</v>
      </c>
      <c r="C19" s="80">
        <v>849.0</v>
      </c>
      <c r="D19" s="81">
        <v>429.0</v>
      </c>
      <c r="E19" s="80">
        <v>384.0</v>
      </c>
      <c r="F19" s="80">
        <v>258.0</v>
      </c>
      <c r="G19" s="82">
        <f t="shared" si="1"/>
        <v>0.6013986014</v>
      </c>
      <c r="H19" s="83">
        <v>0.014050925925925927</v>
      </c>
      <c r="I19" s="83">
        <v>0.01025462962962963</v>
      </c>
      <c r="J19" s="82">
        <f t="shared" si="2"/>
        <v>0.7298187809</v>
      </c>
      <c r="K19" s="84" t="s">
        <v>323</v>
      </c>
      <c r="L19" s="85">
        <v>600.0</v>
      </c>
      <c r="M19" s="85" t="s">
        <v>324</v>
      </c>
      <c r="N19" s="176"/>
      <c r="O19" s="177"/>
      <c r="P19" s="177"/>
      <c r="Q19" s="177"/>
      <c r="R19" s="177"/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77"/>
      <c r="AD19" s="177"/>
    </row>
    <row r="20">
      <c r="A20" s="174">
        <v>16.0</v>
      </c>
      <c r="B20" s="87" t="s">
        <v>325</v>
      </c>
      <c r="C20" s="88">
        <v>300.0</v>
      </c>
      <c r="D20" s="88">
        <v>187.0</v>
      </c>
      <c r="E20" s="88">
        <v>143.0</v>
      </c>
      <c r="F20" s="88">
        <v>108.0</v>
      </c>
      <c r="G20" s="89">
        <f t="shared" si="1"/>
        <v>0.577540107</v>
      </c>
      <c r="H20" s="90">
        <v>0.013310185185185185</v>
      </c>
      <c r="I20" s="90">
        <v>0.010300925925925925</v>
      </c>
      <c r="J20" s="89">
        <f t="shared" si="2"/>
        <v>0.7739130435</v>
      </c>
      <c r="K20" s="94" t="s">
        <v>326</v>
      </c>
      <c r="L20" s="92"/>
      <c r="M20" s="93"/>
      <c r="N20" s="175"/>
      <c r="O20" s="175"/>
      <c r="P20" s="175"/>
      <c r="Q20" s="175"/>
      <c r="R20" s="175"/>
      <c r="S20" s="175"/>
      <c r="T20" s="175"/>
      <c r="U20" s="175"/>
      <c r="V20" s="175"/>
      <c r="W20" s="175"/>
      <c r="X20" s="175"/>
      <c r="Y20" s="175"/>
      <c r="Z20" s="175"/>
      <c r="AA20" s="175"/>
      <c r="AB20" s="175"/>
      <c r="AC20" s="175"/>
      <c r="AD20" s="175"/>
    </row>
    <row r="21">
      <c r="A21" s="178"/>
      <c r="B21" s="179"/>
      <c r="C21" s="180">
        <v>13842.0</v>
      </c>
      <c r="D21" s="180">
        <v>2527.0</v>
      </c>
      <c r="E21" s="180">
        <v>4349.0</v>
      </c>
      <c r="F21" s="180">
        <v>1211.0</v>
      </c>
      <c r="G21" s="178"/>
      <c r="H21" s="178"/>
      <c r="I21" s="178"/>
      <c r="J21" s="178"/>
      <c r="K21" s="181" t="s">
        <v>364</v>
      </c>
      <c r="L21" s="182">
        <v>300.0</v>
      </c>
      <c r="M21" s="178"/>
      <c r="N21" s="183"/>
      <c r="O21" s="161"/>
      <c r="P21" s="161"/>
      <c r="Q21" s="161"/>
      <c r="R21" s="161"/>
      <c r="S21" s="161"/>
      <c r="T21" s="161"/>
      <c r="U21" s="161"/>
      <c r="V21" s="161"/>
      <c r="W21" s="161"/>
      <c r="X21" s="161"/>
      <c r="Y21" s="161"/>
      <c r="Z21" s="161"/>
      <c r="AA21" s="161"/>
      <c r="AB21" s="161"/>
      <c r="AC21" s="161"/>
      <c r="AD21" s="161"/>
    </row>
    <row r="22">
      <c r="A22" s="75"/>
      <c r="B22" s="73"/>
      <c r="C22" s="75"/>
      <c r="D22" s="75"/>
      <c r="E22" s="75"/>
      <c r="F22" s="75"/>
      <c r="G22" s="75"/>
      <c r="H22" s="75"/>
      <c r="I22" s="75"/>
      <c r="J22" s="75"/>
      <c r="K22" s="7" t="s">
        <v>403</v>
      </c>
      <c r="L22" s="184">
        <f>SUM(L5:L21)</f>
        <v>5500</v>
      </c>
      <c r="M22" s="75"/>
      <c r="N22" s="161"/>
      <c r="O22" s="161"/>
      <c r="P22" s="161"/>
      <c r="Q22" s="161"/>
      <c r="R22" s="161"/>
      <c r="S22" s="161"/>
      <c r="T22" s="161"/>
      <c r="U22" s="161"/>
      <c r="V22" s="161"/>
      <c r="W22" s="161"/>
      <c r="X22" s="161"/>
      <c r="Y22" s="161"/>
      <c r="Z22" s="161"/>
      <c r="AA22" s="161"/>
      <c r="AB22" s="161"/>
      <c r="AC22" s="161"/>
      <c r="AD22" s="161"/>
    </row>
    <row r="23">
      <c r="A23" s="75"/>
      <c r="B23" s="73"/>
      <c r="C23" s="75"/>
      <c r="D23" s="75"/>
      <c r="E23" s="75"/>
      <c r="F23" s="75"/>
      <c r="G23" s="75"/>
      <c r="H23" s="75"/>
      <c r="I23" s="75"/>
      <c r="J23" s="75"/>
      <c r="K23" s="7"/>
      <c r="L23" s="184"/>
      <c r="M23" s="75"/>
      <c r="N23" s="161"/>
      <c r="O23" s="161"/>
      <c r="P23" s="161"/>
      <c r="Q23" s="161"/>
      <c r="R23" s="161"/>
      <c r="S23" s="161"/>
      <c r="T23" s="161"/>
      <c r="U23" s="161"/>
      <c r="V23" s="161"/>
      <c r="W23" s="161"/>
      <c r="X23" s="161"/>
      <c r="Y23" s="161"/>
      <c r="Z23" s="161"/>
      <c r="AA23" s="161"/>
      <c r="AB23" s="161"/>
      <c r="AC23" s="161"/>
      <c r="AD23" s="161"/>
    </row>
    <row r="24">
      <c r="A24" s="185" t="s">
        <v>365</v>
      </c>
      <c r="B24" s="185" t="s">
        <v>366</v>
      </c>
      <c r="C24" s="185" t="s">
        <v>367</v>
      </c>
      <c r="D24" s="185" t="s">
        <v>11</v>
      </c>
      <c r="E24" s="185" t="s">
        <v>19</v>
      </c>
      <c r="F24" s="185" t="s">
        <v>368</v>
      </c>
      <c r="G24" s="186" t="s">
        <v>369</v>
      </c>
      <c r="H24" s="187">
        <v>3083.0</v>
      </c>
      <c r="I24" s="188">
        <v>46053.0</v>
      </c>
      <c r="J24" s="7"/>
      <c r="K24" s="189"/>
      <c r="L24" s="7"/>
      <c r="M24" s="7"/>
    </row>
    <row r="25">
      <c r="A25" s="190">
        <v>2025.0</v>
      </c>
      <c r="B25" s="191">
        <v>2183.0</v>
      </c>
      <c r="C25" s="191">
        <v>728.0</v>
      </c>
      <c r="D25" s="192">
        <v>0.333</v>
      </c>
      <c r="E25" s="191">
        <v>377.0</v>
      </c>
      <c r="F25" s="191">
        <v>138.0</v>
      </c>
      <c r="G25" s="7"/>
      <c r="H25" s="7"/>
      <c r="I25" s="7"/>
      <c r="J25" s="7"/>
      <c r="K25" s="189"/>
      <c r="L25" s="7"/>
      <c r="M25" s="7"/>
    </row>
    <row r="26">
      <c r="A26" s="193">
        <v>2024.0</v>
      </c>
      <c r="B26" s="194">
        <v>2747.0</v>
      </c>
      <c r="C26" s="194">
        <v>742.0</v>
      </c>
      <c r="D26" s="195">
        <v>0.27</v>
      </c>
      <c r="E26" s="194">
        <v>360.0</v>
      </c>
      <c r="F26" s="194">
        <v>167.0</v>
      </c>
      <c r="G26" s="7"/>
      <c r="H26" s="7"/>
      <c r="I26" s="7"/>
      <c r="J26" s="7"/>
      <c r="K26" s="189"/>
      <c r="L26" s="7"/>
      <c r="M26" s="7"/>
    </row>
    <row r="27">
      <c r="A27" s="7"/>
      <c r="B27" s="189"/>
      <c r="C27" s="7"/>
      <c r="D27" s="7"/>
      <c r="E27" s="7"/>
      <c r="F27" s="7"/>
      <c r="G27" s="7"/>
      <c r="H27" s="7"/>
      <c r="I27" s="7"/>
      <c r="J27" s="7"/>
      <c r="K27" s="189"/>
      <c r="L27" s="7"/>
      <c r="M27" s="7"/>
    </row>
    <row r="28">
      <c r="A28" s="7"/>
      <c r="B28" s="189"/>
      <c r="C28" s="7"/>
      <c r="D28" s="7"/>
      <c r="E28" s="7"/>
      <c r="F28" s="7"/>
      <c r="G28" s="7"/>
      <c r="H28" s="7"/>
      <c r="I28" s="7"/>
      <c r="J28" s="7"/>
      <c r="K28" s="189"/>
      <c r="L28" s="7"/>
      <c r="M28" s="7"/>
    </row>
    <row r="29">
      <c r="A29" s="7"/>
      <c r="B29" s="189"/>
      <c r="C29" s="7"/>
      <c r="D29" s="7"/>
      <c r="E29" s="7"/>
      <c r="F29" s="7" t="s">
        <v>404</v>
      </c>
      <c r="G29" s="7"/>
      <c r="H29" s="7"/>
      <c r="I29" s="7"/>
      <c r="J29" s="7"/>
      <c r="K29" s="189"/>
      <c r="L29" s="7"/>
      <c r="M29" s="7"/>
    </row>
    <row r="30">
      <c r="A30" s="7"/>
      <c r="B30" s="189"/>
      <c r="C30" s="7"/>
      <c r="D30" s="7"/>
      <c r="E30" s="7"/>
      <c r="F30" s="7"/>
      <c r="G30" s="7"/>
      <c r="H30" s="7"/>
      <c r="I30" s="7"/>
      <c r="J30" s="7"/>
      <c r="K30" s="189"/>
      <c r="L30" s="7"/>
      <c r="M30" s="7"/>
    </row>
    <row r="31">
      <c r="A31" s="7"/>
      <c r="B31" s="189"/>
      <c r="C31" s="7"/>
      <c r="D31" s="7"/>
      <c r="E31" s="7"/>
      <c r="F31" s="7"/>
      <c r="G31" s="7"/>
      <c r="H31" s="7"/>
      <c r="I31" s="7"/>
      <c r="J31" s="7"/>
      <c r="K31" s="189"/>
      <c r="L31" s="7"/>
      <c r="M31" s="7"/>
    </row>
    <row r="32">
      <c r="A32" s="7"/>
      <c r="B32" s="189"/>
      <c r="C32" s="7"/>
      <c r="D32" s="7"/>
      <c r="E32" s="7"/>
      <c r="F32" s="7"/>
      <c r="G32" s="7"/>
      <c r="H32" s="7"/>
      <c r="I32" s="7"/>
      <c r="J32" s="7"/>
      <c r="K32" s="189"/>
      <c r="L32" s="7"/>
      <c r="M32" s="7"/>
    </row>
    <row r="33">
      <c r="A33" s="7"/>
      <c r="B33" s="189"/>
      <c r="C33" s="7"/>
      <c r="D33" s="7"/>
      <c r="E33" s="7"/>
      <c r="F33" s="7"/>
      <c r="G33" s="7"/>
      <c r="H33" s="7"/>
      <c r="I33" s="7"/>
      <c r="J33" s="7"/>
      <c r="K33" s="189"/>
      <c r="L33" s="7"/>
      <c r="M33" s="7"/>
    </row>
    <row r="34">
      <c r="A34" s="7"/>
      <c r="B34" s="189"/>
      <c r="C34" s="7"/>
      <c r="D34" s="7"/>
      <c r="E34" s="7"/>
      <c r="F34" s="7"/>
      <c r="G34" s="7"/>
      <c r="H34" s="7"/>
      <c r="I34" s="7"/>
      <c r="J34" s="7"/>
      <c r="K34" s="189"/>
      <c r="L34" s="7"/>
      <c r="M34" s="7"/>
    </row>
    <row r="35">
      <c r="A35" s="11" t="s">
        <v>342</v>
      </c>
      <c r="B35" s="196" t="s">
        <v>316</v>
      </c>
      <c r="C35" s="11" t="s">
        <v>405</v>
      </c>
      <c r="D35" s="11" t="s">
        <v>343</v>
      </c>
      <c r="E35" s="11" t="s">
        <v>406</v>
      </c>
      <c r="F35" s="11" t="s">
        <v>345</v>
      </c>
      <c r="G35" s="196" t="s">
        <v>17</v>
      </c>
      <c r="H35" s="11" t="s">
        <v>349</v>
      </c>
      <c r="I35" s="11" t="s">
        <v>59</v>
      </c>
      <c r="J35" s="11"/>
    </row>
    <row r="36">
      <c r="B36" s="197" t="s">
        <v>407</v>
      </c>
      <c r="C36" s="198">
        <v>45579.0</v>
      </c>
      <c r="D36" s="8">
        <v>2267.0</v>
      </c>
      <c r="E36" s="8">
        <v>949.0</v>
      </c>
      <c r="F36" s="8">
        <v>245.0</v>
      </c>
      <c r="G36" s="199">
        <v>45688.0</v>
      </c>
      <c r="I36" s="8" t="s">
        <v>408</v>
      </c>
    </row>
    <row r="37">
      <c r="B37" s="197" t="s">
        <v>409</v>
      </c>
      <c r="C37" s="198">
        <v>45579.0</v>
      </c>
      <c r="D37" s="8">
        <v>744.0</v>
      </c>
      <c r="E37" s="8">
        <v>431.0</v>
      </c>
      <c r="F37" s="8">
        <v>172.0</v>
      </c>
      <c r="G37" s="199">
        <v>45688.0</v>
      </c>
      <c r="I37" s="8" t="s">
        <v>410</v>
      </c>
    </row>
    <row r="38">
      <c r="B38" s="197" t="s">
        <v>411</v>
      </c>
      <c r="C38" s="198">
        <v>45579.0</v>
      </c>
      <c r="D38" s="8">
        <v>907.0</v>
      </c>
      <c r="E38" s="8">
        <v>478.0</v>
      </c>
      <c r="F38" s="8">
        <v>143.0</v>
      </c>
      <c r="G38" s="199">
        <v>45688.0</v>
      </c>
      <c r="H38" s="8" t="s">
        <v>412</v>
      </c>
      <c r="I38" s="8" t="s">
        <v>413</v>
      </c>
    </row>
    <row r="39">
      <c r="B39" s="197" t="s">
        <v>414</v>
      </c>
      <c r="C39" s="198">
        <v>45579.0</v>
      </c>
      <c r="D39" s="8">
        <v>281.0</v>
      </c>
      <c r="E39" s="8">
        <v>160.0</v>
      </c>
      <c r="F39" s="8">
        <v>36.0</v>
      </c>
      <c r="G39" s="199">
        <v>45688.0</v>
      </c>
      <c r="I39" s="8" t="s">
        <v>415</v>
      </c>
    </row>
    <row r="40">
      <c r="B40" s="197" t="s">
        <v>416</v>
      </c>
      <c r="C40" s="198">
        <v>45579.0</v>
      </c>
      <c r="D40" s="8">
        <v>238.0</v>
      </c>
      <c r="E40" s="8">
        <v>148.0</v>
      </c>
      <c r="F40" s="8">
        <v>47.0</v>
      </c>
      <c r="G40" s="199">
        <v>45688.0</v>
      </c>
      <c r="I40" s="8" t="s">
        <v>417</v>
      </c>
    </row>
    <row r="41">
      <c r="B41" s="197" t="s">
        <v>418</v>
      </c>
      <c r="C41" s="198">
        <v>45579.0</v>
      </c>
      <c r="D41" s="8">
        <v>526.0</v>
      </c>
      <c r="E41" s="8">
        <v>281.0</v>
      </c>
      <c r="F41" s="8">
        <v>110.0</v>
      </c>
      <c r="G41" s="199">
        <v>45688.0</v>
      </c>
      <c r="I41" s="8" t="s">
        <v>419</v>
      </c>
    </row>
    <row r="42">
      <c r="B42" s="197" t="s">
        <v>420</v>
      </c>
      <c r="C42" s="198">
        <v>45579.0</v>
      </c>
      <c r="D42" s="8">
        <v>388.0</v>
      </c>
      <c r="E42" s="8">
        <v>249.0</v>
      </c>
      <c r="F42" s="8">
        <v>54.0</v>
      </c>
      <c r="G42" s="199">
        <v>45688.0</v>
      </c>
      <c r="H42" s="8" t="s">
        <v>412</v>
      </c>
      <c r="I42" s="8" t="s">
        <v>421</v>
      </c>
    </row>
    <row r="43">
      <c r="B43" s="197" t="s">
        <v>422</v>
      </c>
      <c r="C43" s="198">
        <v>45579.0</v>
      </c>
      <c r="D43" s="8">
        <v>223.0</v>
      </c>
      <c r="E43" s="8">
        <v>125.0</v>
      </c>
      <c r="F43" s="8">
        <v>32.0</v>
      </c>
      <c r="G43" s="199">
        <v>45688.0</v>
      </c>
      <c r="I43" s="8" t="s">
        <v>423</v>
      </c>
    </row>
    <row r="44">
      <c r="B44" s="197" t="s">
        <v>424</v>
      </c>
      <c r="C44" s="198">
        <v>45579.0</v>
      </c>
      <c r="D44" s="8">
        <v>265.0</v>
      </c>
      <c r="E44" s="8">
        <v>139.0</v>
      </c>
      <c r="F44" s="8">
        <v>58.0</v>
      </c>
      <c r="G44" s="199">
        <v>45688.0</v>
      </c>
      <c r="I44" s="8" t="s">
        <v>425</v>
      </c>
    </row>
    <row r="45">
      <c r="B45" s="197" t="s">
        <v>426</v>
      </c>
      <c r="C45" s="198">
        <v>45579.0</v>
      </c>
      <c r="D45" s="8">
        <v>308.0</v>
      </c>
      <c r="E45" s="8">
        <v>179.0</v>
      </c>
      <c r="F45" s="8">
        <v>59.0</v>
      </c>
      <c r="G45" s="199">
        <v>45688.0</v>
      </c>
      <c r="I45" s="8" t="s">
        <v>427</v>
      </c>
    </row>
    <row r="46">
      <c r="B46" s="197" t="s">
        <v>428</v>
      </c>
      <c r="C46" s="198">
        <v>45579.0</v>
      </c>
      <c r="D46" s="8">
        <v>732.0</v>
      </c>
      <c r="E46" s="8">
        <v>401.0</v>
      </c>
      <c r="F46" s="8">
        <v>133.0</v>
      </c>
      <c r="G46" s="199">
        <v>45688.0</v>
      </c>
      <c r="H46" s="8" t="s">
        <v>412</v>
      </c>
      <c r="I46" s="8" t="s">
        <v>429</v>
      </c>
    </row>
    <row r="47">
      <c r="B47" s="197" t="s">
        <v>430</v>
      </c>
      <c r="C47" s="198">
        <v>45579.0</v>
      </c>
      <c r="D47" s="8">
        <v>145.0</v>
      </c>
      <c r="E47" s="8">
        <v>83.0</v>
      </c>
      <c r="F47" s="8">
        <v>19.0</v>
      </c>
      <c r="G47" s="199">
        <v>45688.0</v>
      </c>
      <c r="I47" s="8" t="s">
        <v>431</v>
      </c>
    </row>
    <row r="48">
      <c r="B48" s="197" t="s">
        <v>432</v>
      </c>
      <c r="C48" s="198">
        <v>45579.0</v>
      </c>
      <c r="D48" s="8">
        <v>179.0</v>
      </c>
      <c r="E48" s="8">
        <v>114.0</v>
      </c>
      <c r="F48" s="8">
        <v>40.0</v>
      </c>
      <c r="G48" s="199">
        <v>45688.0</v>
      </c>
      <c r="I48" s="8" t="s">
        <v>433</v>
      </c>
    </row>
    <row r="49">
      <c r="B49" s="197" t="s">
        <v>434</v>
      </c>
      <c r="C49" s="198">
        <v>45579.0</v>
      </c>
      <c r="D49" s="8">
        <v>286.0</v>
      </c>
      <c r="E49" s="8">
        <v>164.0</v>
      </c>
      <c r="F49" s="8">
        <v>55.0</v>
      </c>
      <c r="G49" s="199">
        <v>45688.0</v>
      </c>
      <c r="I49" s="8" t="s">
        <v>435</v>
      </c>
    </row>
    <row r="50">
      <c r="B50" s="197" t="s">
        <v>436</v>
      </c>
      <c r="C50" s="198">
        <v>45579.0</v>
      </c>
      <c r="D50" s="8">
        <v>105.0</v>
      </c>
      <c r="E50" s="8">
        <v>88.0</v>
      </c>
      <c r="F50" s="8">
        <v>15.0</v>
      </c>
      <c r="G50" s="199">
        <v>45688.0</v>
      </c>
      <c r="I50" s="8" t="s">
        <v>437</v>
      </c>
    </row>
    <row r="51">
      <c r="B51" s="200"/>
      <c r="E51" s="7">
        <v>1446.0</v>
      </c>
      <c r="K51" s="200"/>
    </row>
    <row r="52">
      <c r="B52" s="200"/>
      <c r="K52" s="200"/>
    </row>
    <row r="53">
      <c r="B53" s="200"/>
      <c r="K53" s="200"/>
    </row>
    <row r="54">
      <c r="B54" s="200"/>
      <c r="K54" s="200"/>
    </row>
    <row r="55">
      <c r="B55" s="200"/>
      <c r="K55" s="200"/>
    </row>
    <row r="56">
      <c r="B56" s="200"/>
      <c r="K56" s="200"/>
    </row>
    <row r="57">
      <c r="B57" s="200"/>
      <c r="K57" s="200"/>
    </row>
    <row r="58">
      <c r="B58" s="200"/>
      <c r="K58" s="200"/>
    </row>
    <row r="59">
      <c r="B59" s="200"/>
      <c r="K59" s="200"/>
    </row>
    <row r="60">
      <c r="B60" s="200"/>
      <c r="K60" s="200"/>
    </row>
    <row r="61">
      <c r="B61" s="200"/>
      <c r="K61" s="200"/>
    </row>
    <row r="62">
      <c r="B62" s="200"/>
      <c r="K62" s="200"/>
    </row>
    <row r="63">
      <c r="B63" s="200"/>
      <c r="K63" s="200"/>
    </row>
    <row r="64">
      <c r="B64" s="200"/>
      <c r="K64" s="200"/>
    </row>
    <row r="65">
      <c r="B65" s="200"/>
      <c r="K65" s="200"/>
    </row>
    <row r="66">
      <c r="B66" s="200"/>
      <c r="K66" s="200"/>
    </row>
    <row r="67">
      <c r="B67" s="200"/>
      <c r="K67" s="200"/>
    </row>
    <row r="68">
      <c r="B68" s="200"/>
      <c r="K68" s="200"/>
    </row>
    <row r="69">
      <c r="B69" s="200"/>
      <c r="K69" s="200"/>
    </row>
    <row r="70">
      <c r="B70" s="200"/>
      <c r="K70" s="200"/>
    </row>
    <row r="71">
      <c r="B71" s="200"/>
      <c r="K71" s="200"/>
    </row>
    <row r="72">
      <c r="B72" s="200"/>
      <c r="K72" s="200"/>
    </row>
    <row r="73">
      <c r="B73" s="200"/>
      <c r="K73" s="200"/>
    </row>
    <row r="74">
      <c r="B74" s="200"/>
      <c r="K74" s="200"/>
    </row>
    <row r="75">
      <c r="B75" s="200"/>
      <c r="K75" s="200"/>
    </row>
    <row r="76">
      <c r="B76" s="200"/>
      <c r="K76" s="200"/>
    </row>
    <row r="77">
      <c r="B77" s="200"/>
      <c r="K77" s="200"/>
    </row>
    <row r="78">
      <c r="B78" s="200"/>
      <c r="K78" s="200"/>
    </row>
    <row r="79">
      <c r="B79" s="200"/>
      <c r="K79" s="200"/>
    </row>
    <row r="80">
      <c r="B80" s="200"/>
      <c r="K80" s="200"/>
    </row>
    <row r="81">
      <c r="B81" s="200"/>
      <c r="K81" s="200"/>
    </row>
    <row r="82">
      <c r="B82" s="200"/>
      <c r="K82" s="200"/>
    </row>
    <row r="83">
      <c r="B83" s="200"/>
      <c r="K83" s="200"/>
    </row>
    <row r="84">
      <c r="B84" s="200"/>
      <c r="K84" s="200"/>
    </row>
    <row r="85">
      <c r="B85" s="200"/>
      <c r="K85" s="200"/>
    </row>
    <row r="86">
      <c r="B86" s="200"/>
      <c r="K86" s="200"/>
    </row>
    <row r="87">
      <c r="B87" s="200"/>
      <c r="K87" s="200"/>
    </row>
    <row r="88">
      <c r="B88" s="200"/>
      <c r="K88" s="200"/>
    </row>
    <row r="89">
      <c r="B89" s="200"/>
      <c r="K89" s="200"/>
    </row>
    <row r="90">
      <c r="B90" s="200"/>
      <c r="K90" s="200"/>
    </row>
    <row r="91">
      <c r="B91" s="200"/>
      <c r="K91" s="200"/>
    </row>
    <row r="92">
      <c r="B92" s="200"/>
      <c r="K92" s="200"/>
    </row>
    <row r="93">
      <c r="B93" s="200"/>
      <c r="K93" s="200"/>
    </row>
    <row r="94">
      <c r="B94" s="200"/>
      <c r="K94" s="200"/>
    </row>
    <row r="95">
      <c r="B95" s="200"/>
      <c r="K95" s="200"/>
    </row>
    <row r="96">
      <c r="B96" s="200"/>
      <c r="K96" s="200"/>
    </row>
    <row r="97">
      <c r="B97" s="200"/>
      <c r="K97" s="200"/>
    </row>
    <row r="98">
      <c r="B98" s="200"/>
      <c r="K98" s="200"/>
    </row>
    <row r="99">
      <c r="B99" s="200"/>
      <c r="K99" s="200"/>
    </row>
    <row r="100">
      <c r="B100" s="200"/>
      <c r="K100" s="200"/>
    </row>
    <row r="101">
      <c r="B101" s="200"/>
      <c r="K101" s="200"/>
    </row>
    <row r="102">
      <c r="B102" s="200"/>
      <c r="K102" s="200"/>
    </row>
    <row r="103">
      <c r="B103" s="200"/>
      <c r="K103" s="200"/>
    </row>
    <row r="104">
      <c r="B104" s="200"/>
      <c r="K104" s="200"/>
    </row>
    <row r="105">
      <c r="B105" s="200"/>
      <c r="K105" s="200"/>
    </row>
    <row r="106">
      <c r="B106" s="200"/>
      <c r="K106" s="200"/>
    </row>
    <row r="107">
      <c r="B107" s="200"/>
      <c r="K107" s="200"/>
    </row>
    <row r="108">
      <c r="B108" s="200"/>
      <c r="K108" s="200"/>
    </row>
    <row r="109">
      <c r="B109" s="200"/>
      <c r="K109" s="200"/>
    </row>
    <row r="110">
      <c r="B110" s="200"/>
      <c r="K110" s="200"/>
    </row>
    <row r="111">
      <c r="B111" s="200"/>
      <c r="K111" s="200"/>
    </row>
    <row r="112">
      <c r="B112" s="200"/>
      <c r="K112" s="200"/>
    </row>
    <row r="113">
      <c r="B113" s="200"/>
      <c r="K113" s="200"/>
    </row>
    <row r="114">
      <c r="B114" s="200"/>
      <c r="K114" s="200"/>
    </row>
    <row r="115">
      <c r="B115" s="200"/>
      <c r="K115" s="200"/>
    </row>
    <row r="116">
      <c r="B116" s="200"/>
      <c r="K116" s="200"/>
    </row>
    <row r="117">
      <c r="B117" s="200"/>
      <c r="K117" s="200"/>
    </row>
    <row r="118">
      <c r="B118" s="200"/>
      <c r="K118" s="200"/>
    </row>
    <row r="119">
      <c r="B119" s="200"/>
      <c r="K119" s="200"/>
    </row>
    <row r="120">
      <c r="B120" s="200"/>
      <c r="K120" s="200"/>
    </row>
    <row r="121">
      <c r="B121" s="200"/>
      <c r="K121" s="200"/>
    </row>
    <row r="122">
      <c r="B122" s="200"/>
      <c r="K122" s="200"/>
    </row>
    <row r="123">
      <c r="B123" s="200"/>
      <c r="K123" s="200"/>
    </row>
    <row r="124">
      <c r="B124" s="200"/>
      <c r="K124" s="200"/>
    </row>
    <row r="125">
      <c r="B125" s="200"/>
      <c r="K125" s="200"/>
    </row>
    <row r="126">
      <c r="B126" s="200"/>
      <c r="K126" s="200"/>
    </row>
    <row r="127">
      <c r="B127" s="200"/>
      <c r="K127" s="200"/>
    </row>
    <row r="128">
      <c r="B128" s="200"/>
      <c r="K128" s="200"/>
    </row>
    <row r="129">
      <c r="B129" s="200"/>
      <c r="K129" s="200"/>
    </row>
    <row r="130">
      <c r="B130" s="200"/>
      <c r="K130" s="200"/>
    </row>
    <row r="131">
      <c r="B131" s="200"/>
      <c r="K131" s="200"/>
    </row>
    <row r="132">
      <c r="B132" s="200"/>
      <c r="K132" s="200"/>
    </row>
    <row r="133">
      <c r="B133" s="200"/>
      <c r="K133" s="200"/>
    </row>
    <row r="134">
      <c r="B134" s="200"/>
      <c r="K134" s="200"/>
    </row>
    <row r="135">
      <c r="B135" s="200"/>
      <c r="K135" s="200"/>
    </row>
    <row r="136">
      <c r="B136" s="200"/>
      <c r="K136" s="200"/>
    </row>
    <row r="137">
      <c r="B137" s="200"/>
      <c r="K137" s="200"/>
    </row>
    <row r="138">
      <c r="B138" s="200"/>
      <c r="K138" s="200"/>
    </row>
    <row r="139">
      <c r="B139" s="200"/>
      <c r="K139" s="200"/>
    </row>
    <row r="140">
      <c r="B140" s="200"/>
      <c r="K140" s="200"/>
    </row>
    <row r="141">
      <c r="B141" s="200"/>
      <c r="K141" s="200"/>
    </row>
    <row r="142">
      <c r="B142" s="200"/>
      <c r="K142" s="200"/>
    </row>
    <row r="143">
      <c r="B143" s="200"/>
      <c r="K143" s="200"/>
    </row>
    <row r="144">
      <c r="B144" s="200"/>
      <c r="K144" s="200"/>
    </row>
    <row r="145">
      <c r="B145" s="200"/>
      <c r="K145" s="200"/>
    </row>
    <row r="146">
      <c r="B146" s="200"/>
      <c r="K146" s="200"/>
    </row>
    <row r="147">
      <c r="B147" s="200"/>
      <c r="K147" s="200"/>
    </row>
    <row r="148">
      <c r="B148" s="200"/>
      <c r="K148" s="200"/>
    </row>
    <row r="149">
      <c r="B149" s="200"/>
      <c r="K149" s="200"/>
    </row>
    <row r="150">
      <c r="B150" s="200"/>
      <c r="K150" s="200"/>
    </row>
    <row r="151">
      <c r="B151" s="200"/>
      <c r="K151" s="200"/>
    </row>
    <row r="152">
      <c r="B152" s="200"/>
      <c r="K152" s="200"/>
    </row>
    <row r="153">
      <c r="B153" s="200"/>
      <c r="K153" s="200"/>
    </row>
    <row r="154">
      <c r="B154" s="200"/>
      <c r="K154" s="200"/>
    </row>
    <row r="155">
      <c r="B155" s="200"/>
      <c r="K155" s="200"/>
    </row>
    <row r="156">
      <c r="B156" s="200"/>
      <c r="K156" s="200"/>
    </row>
    <row r="157">
      <c r="B157" s="200"/>
      <c r="K157" s="200"/>
    </row>
    <row r="158">
      <c r="B158" s="200"/>
      <c r="K158" s="200"/>
    </row>
    <row r="159">
      <c r="B159" s="200"/>
      <c r="K159" s="200"/>
    </row>
    <row r="160">
      <c r="B160" s="200"/>
      <c r="K160" s="200"/>
    </row>
    <row r="161">
      <c r="B161" s="200"/>
      <c r="K161" s="200"/>
    </row>
    <row r="162">
      <c r="B162" s="200"/>
      <c r="K162" s="200"/>
    </row>
    <row r="163">
      <c r="B163" s="200"/>
      <c r="K163" s="200"/>
    </row>
    <row r="164">
      <c r="B164" s="200"/>
      <c r="K164" s="200"/>
    </row>
    <row r="165">
      <c r="B165" s="200"/>
      <c r="K165" s="200"/>
    </row>
    <row r="166">
      <c r="B166" s="200"/>
      <c r="K166" s="200"/>
    </row>
    <row r="167">
      <c r="B167" s="200"/>
      <c r="K167" s="200"/>
    </row>
    <row r="168">
      <c r="B168" s="200"/>
      <c r="K168" s="200"/>
    </row>
    <row r="169">
      <c r="B169" s="200"/>
      <c r="K169" s="200"/>
    </row>
    <row r="170">
      <c r="B170" s="200"/>
      <c r="K170" s="200"/>
    </row>
    <row r="171">
      <c r="B171" s="200"/>
      <c r="K171" s="200"/>
    </row>
    <row r="172">
      <c r="B172" s="200"/>
      <c r="K172" s="200"/>
    </row>
    <row r="173">
      <c r="B173" s="200"/>
      <c r="K173" s="200"/>
    </row>
    <row r="174">
      <c r="B174" s="200"/>
      <c r="K174" s="200"/>
    </row>
    <row r="175">
      <c r="B175" s="200"/>
      <c r="K175" s="200"/>
    </row>
    <row r="176">
      <c r="B176" s="200"/>
      <c r="K176" s="200"/>
    </row>
    <row r="177">
      <c r="B177" s="200"/>
      <c r="K177" s="200"/>
    </row>
    <row r="178">
      <c r="B178" s="200"/>
      <c r="K178" s="200"/>
    </row>
    <row r="179">
      <c r="B179" s="200"/>
      <c r="K179" s="200"/>
    </row>
    <row r="180">
      <c r="B180" s="200"/>
      <c r="K180" s="200"/>
    </row>
    <row r="181">
      <c r="B181" s="200"/>
      <c r="K181" s="200"/>
    </row>
    <row r="182">
      <c r="B182" s="200"/>
      <c r="K182" s="200"/>
    </row>
    <row r="183">
      <c r="B183" s="200"/>
      <c r="K183" s="200"/>
    </row>
    <row r="184">
      <c r="B184" s="200"/>
      <c r="K184" s="200"/>
    </row>
    <row r="185">
      <c r="B185" s="200"/>
      <c r="K185" s="200"/>
    </row>
    <row r="186">
      <c r="B186" s="200"/>
      <c r="K186" s="200"/>
    </row>
    <row r="187">
      <c r="B187" s="200"/>
      <c r="K187" s="200"/>
    </row>
    <row r="188">
      <c r="B188" s="200"/>
      <c r="K188" s="200"/>
    </row>
    <row r="189">
      <c r="B189" s="200"/>
      <c r="K189" s="200"/>
    </row>
    <row r="190">
      <c r="B190" s="200"/>
      <c r="K190" s="200"/>
    </row>
    <row r="191">
      <c r="B191" s="200"/>
      <c r="K191" s="200"/>
    </row>
    <row r="192">
      <c r="B192" s="200"/>
      <c r="K192" s="200"/>
    </row>
    <row r="193">
      <c r="B193" s="200"/>
      <c r="K193" s="200"/>
    </row>
    <row r="194">
      <c r="B194" s="200"/>
      <c r="K194" s="200"/>
    </row>
    <row r="195">
      <c r="B195" s="200"/>
      <c r="K195" s="200"/>
    </row>
    <row r="196">
      <c r="B196" s="200"/>
      <c r="K196" s="200"/>
    </row>
    <row r="197">
      <c r="B197" s="200"/>
      <c r="K197" s="200"/>
    </row>
    <row r="198">
      <c r="B198" s="200"/>
      <c r="K198" s="200"/>
    </row>
    <row r="199">
      <c r="B199" s="200"/>
      <c r="K199" s="200"/>
    </row>
    <row r="200">
      <c r="B200" s="200"/>
      <c r="K200" s="200"/>
    </row>
    <row r="201">
      <c r="B201" s="200"/>
      <c r="K201" s="200"/>
    </row>
    <row r="202">
      <c r="B202" s="200"/>
      <c r="K202" s="200"/>
    </row>
    <row r="203">
      <c r="B203" s="200"/>
      <c r="K203" s="200"/>
    </row>
    <row r="204">
      <c r="B204" s="200"/>
      <c r="K204" s="200"/>
    </row>
    <row r="205">
      <c r="B205" s="200"/>
      <c r="K205" s="200"/>
    </row>
    <row r="206">
      <c r="B206" s="200"/>
      <c r="K206" s="200"/>
    </row>
    <row r="207">
      <c r="B207" s="200"/>
      <c r="K207" s="200"/>
    </row>
    <row r="208">
      <c r="B208" s="200"/>
      <c r="K208" s="200"/>
    </row>
    <row r="209">
      <c r="B209" s="200"/>
      <c r="K209" s="200"/>
    </row>
    <row r="210">
      <c r="B210" s="200"/>
      <c r="K210" s="200"/>
    </row>
    <row r="211">
      <c r="B211" s="200"/>
      <c r="K211" s="200"/>
    </row>
    <row r="212">
      <c r="B212" s="200"/>
      <c r="K212" s="200"/>
    </row>
    <row r="213">
      <c r="B213" s="200"/>
      <c r="K213" s="200"/>
    </row>
    <row r="214">
      <c r="B214" s="200"/>
      <c r="K214" s="200"/>
    </row>
    <row r="215">
      <c r="B215" s="200"/>
      <c r="K215" s="200"/>
    </row>
    <row r="216">
      <c r="B216" s="200"/>
      <c r="K216" s="200"/>
    </row>
    <row r="217">
      <c r="B217" s="200"/>
      <c r="K217" s="200"/>
    </row>
    <row r="218">
      <c r="B218" s="200"/>
      <c r="K218" s="200"/>
    </row>
    <row r="219">
      <c r="B219" s="200"/>
      <c r="K219" s="200"/>
    </row>
    <row r="220">
      <c r="B220" s="200"/>
      <c r="K220" s="200"/>
    </row>
    <row r="221">
      <c r="B221" s="200"/>
      <c r="K221" s="200"/>
    </row>
    <row r="222">
      <c r="B222" s="200"/>
      <c r="K222" s="200"/>
    </row>
    <row r="223">
      <c r="B223" s="200"/>
      <c r="K223" s="200"/>
    </row>
    <row r="224">
      <c r="B224" s="200"/>
      <c r="K224" s="200"/>
    </row>
    <row r="225">
      <c r="B225" s="200"/>
      <c r="K225" s="200"/>
    </row>
    <row r="226">
      <c r="B226" s="200"/>
      <c r="K226" s="200"/>
    </row>
    <row r="227">
      <c r="B227" s="200"/>
      <c r="K227" s="200"/>
    </row>
    <row r="228">
      <c r="B228" s="200"/>
      <c r="K228" s="200"/>
    </row>
    <row r="229">
      <c r="B229" s="200"/>
      <c r="K229" s="200"/>
    </row>
    <row r="230">
      <c r="B230" s="200"/>
      <c r="K230" s="200"/>
    </row>
    <row r="231">
      <c r="B231" s="200"/>
      <c r="K231" s="200"/>
    </row>
    <row r="232">
      <c r="B232" s="200"/>
      <c r="K232" s="200"/>
    </row>
    <row r="233">
      <c r="B233" s="200"/>
      <c r="K233" s="200"/>
    </row>
    <row r="234">
      <c r="B234" s="200"/>
      <c r="K234" s="200"/>
    </row>
    <row r="235">
      <c r="B235" s="200"/>
      <c r="K235" s="200"/>
    </row>
    <row r="236">
      <c r="B236" s="200"/>
      <c r="K236" s="200"/>
    </row>
    <row r="237">
      <c r="B237" s="200"/>
      <c r="K237" s="200"/>
    </row>
    <row r="238">
      <c r="B238" s="200"/>
      <c r="K238" s="200"/>
    </row>
    <row r="239">
      <c r="B239" s="200"/>
      <c r="K239" s="200"/>
    </row>
    <row r="240">
      <c r="B240" s="200"/>
      <c r="K240" s="200"/>
    </row>
    <row r="241">
      <c r="B241" s="200"/>
      <c r="K241" s="200"/>
    </row>
    <row r="242">
      <c r="B242" s="200"/>
      <c r="K242" s="200"/>
    </row>
    <row r="243">
      <c r="B243" s="200"/>
      <c r="K243" s="200"/>
    </row>
    <row r="244">
      <c r="B244" s="200"/>
      <c r="K244" s="200"/>
    </row>
    <row r="245">
      <c r="B245" s="200"/>
      <c r="K245" s="200"/>
    </row>
    <row r="246">
      <c r="B246" s="200"/>
      <c r="K246" s="200"/>
    </row>
    <row r="247">
      <c r="B247" s="200"/>
      <c r="K247" s="200"/>
    </row>
    <row r="248">
      <c r="B248" s="200"/>
      <c r="K248" s="200"/>
    </row>
    <row r="249">
      <c r="B249" s="200"/>
      <c r="K249" s="200"/>
    </row>
    <row r="250">
      <c r="B250" s="200"/>
      <c r="K250" s="200"/>
    </row>
    <row r="251">
      <c r="B251" s="200"/>
      <c r="K251" s="200"/>
    </row>
    <row r="252">
      <c r="B252" s="200"/>
      <c r="K252" s="200"/>
    </row>
    <row r="253">
      <c r="B253" s="200"/>
      <c r="K253" s="200"/>
    </row>
    <row r="254">
      <c r="B254" s="200"/>
      <c r="K254" s="200"/>
    </row>
    <row r="255">
      <c r="B255" s="200"/>
      <c r="K255" s="200"/>
    </row>
    <row r="256">
      <c r="B256" s="200"/>
      <c r="K256" s="200"/>
    </row>
    <row r="257">
      <c r="B257" s="200"/>
      <c r="K257" s="200"/>
    </row>
    <row r="258">
      <c r="B258" s="200"/>
      <c r="K258" s="200"/>
    </row>
    <row r="259">
      <c r="B259" s="200"/>
      <c r="K259" s="200"/>
    </row>
    <row r="260">
      <c r="B260" s="200"/>
      <c r="K260" s="200"/>
    </row>
    <row r="261">
      <c r="B261" s="200"/>
      <c r="K261" s="200"/>
    </row>
    <row r="262">
      <c r="B262" s="200"/>
      <c r="K262" s="200"/>
    </row>
    <row r="263">
      <c r="B263" s="200"/>
      <c r="K263" s="200"/>
    </row>
    <row r="264">
      <c r="B264" s="200"/>
      <c r="K264" s="200"/>
    </row>
    <row r="265">
      <c r="B265" s="200"/>
      <c r="K265" s="200"/>
    </row>
    <row r="266">
      <c r="B266" s="200"/>
      <c r="K266" s="200"/>
    </row>
    <row r="267">
      <c r="B267" s="200"/>
      <c r="K267" s="200"/>
    </row>
    <row r="268">
      <c r="B268" s="200"/>
      <c r="K268" s="200"/>
    </row>
    <row r="269">
      <c r="B269" s="200"/>
      <c r="K269" s="200"/>
    </row>
    <row r="270">
      <c r="B270" s="200"/>
      <c r="K270" s="200"/>
    </row>
    <row r="271">
      <c r="B271" s="200"/>
      <c r="K271" s="200"/>
    </row>
    <row r="272">
      <c r="B272" s="200"/>
      <c r="K272" s="200"/>
    </row>
    <row r="273">
      <c r="B273" s="200"/>
      <c r="K273" s="200"/>
    </row>
    <row r="274">
      <c r="B274" s="200"/>
      <c r="K274" s="200"/>
    </row>
    <row r="275">
      <c r="B275" s="200"/>
      <c r="K275" s="200"/>
    </row>
    <row r="276">
      <c r="B276" s="200"/>
      <c r="K276" s="200"/>
    </row>
    <row r="277">
      <c r="B277" s="200"/>
      <c r="K277" s="200"/>
    </row>
    <row r="278">
      <c r="B278" s="200"/>
      <c r="K278" s="200"/>
    </row>
    <row r="279">
      <c r="B279" s="200"/>
      <c r="K279" s="200"/>
    </row>
    <row r="280">
      <c r="B280" s="200"/>
      <c r="K280" s="200"/>
    </row>
    <row r="281">
      <c r="B281" s="200"/>
      <c r="K281" s="200"/>
    </row>
    <row r="282">
      <c r="B282" s="200"/>
      <c r="K282" s="200"/>
    </row>
    <row r="283">
      <c r="B283" s="200"/>
      <c r="K283" s="200"/>
    </row>
    <row r="284">
      <c r="B284" s="200"/>
      <c r="K284" s="200"/>
    </row>
    <row r="285">
      <c r="B285" s="200"/>
      <c r="K285" s="200"/>
    </row>
    <row r="286">
      <c r="B286" s="200"/>
      <c r="K286" s="200"/>
    </row>
    <row r="287">
      <c r="B287" s="200"/>
      <c r="K287" s="200"/>
    </row>
    <row r="288">
      <c r="B288" s="200"/>
      <c r="K288" s="200"/>
    </row>
    <row r="289">
      <c r="B289" s="200"/>
      <c r="K289" s="200"/>
    </row>
    <row r="290">
      <c r="B290" s="200"/>
      <c r="K290" s="200"/>
    </row>
    <row r="291">
      <c r="B291" s="200"/>
      <c r="K291" s="200"/>
    </row>
    <row r="292">
      <c r="B292" s="200"/>
      <c r="K292" s="200"/>
    </row>
    <row r="293">
      <c r="B293" s="200"/>
      <c r="K293" s="200"/>
    </row>
    <row r="294">
      <c r="B294" s="200"/>
      <c r="K294" s="200"/>
    </row>
    <row r="295">
      <c r="B295" s="200"/>
      <c r="K295" s="200"/>
    </row>
    <row r="296">
      <c r="B296" s="200"/>
      <c r="K296" s="200"/>
    </row>
    <row r="297">
      <c r="B297" s="200"/>
      <c r="K297" s="200"/>
    </row>
    <row r="298">
      <c r="B298" s="200"/>
      <c r="K298" s="200"/>
    </row>
    <row r="299">
      <c r="B299" s="200"/>
      <c r="K299" s="200"/>
    </row>
    <row r="300">
      <c r="B300" s="200"/>
      <c r="K300" s="200"/>
    </row>
    <row r="301">
      <c r="B301" s="200"/>
      <c r="K301" s="200"/>
    </row>
    <row r="302">
      <c r="B302" s="200"/>
      <c r="K302" s="200"/>
    </row>
    <row r="303">
      <c r="B303" s="200"/>
      <c r="K303" s="200"/>
    </row>
    <row r="304">
      <c r="B304" s="200"/>
      <c r="K304" s="200"/>
    </row>
    <row r="305">
      <c r="B305" s="200"/>
      <c r="K305" s="200"/>
    </row>
    <row r="306">
      <c r="B306" s="200"/>
      <c r="K306" s="200"/>
    </row>
    <row r="307">
      <c r="B307" s="200"/>
      <c r="K307" s="200"/>
    </row>
    <row r="308">
      <c r="B308" s="200"/>
      <c r="K308" s="200"/>
    </row>
    <row r="309">
      <c r="B309" s="200"/>
      <c r="K309" s="200"/>
    </row>
    <row r="310">
      <c r="B310" s="200"/>
      <c r="K310" s="200"/>
    </row>
    <row r="311">
      <c r="B311" s="200"/>
      <c r="K311" s="200"/>
    </row>
    <row r="312">
      <c r="B312" s="200"/>
      <c r="K312" s="200"/>
    </row>
    <row r="313">
      <c r="B313" s="200"/>
      <c r="K313" s="200"/>
    </row>
    <row r="314">
      <c r="B314" s="200"/>
      <c r="K314" s="200"/>
    </row>
    <row r="315">
      <c r="B315" s="200"/>
      <c r="K315" s="200"/>
    </row>
    <row r="316">
      <c r="B316" s="200"/>
      <c r="K316" s="200"/>
    </row>
    <row r="317">
      <c r="B317" s="200"/>
      <c r="K317" s="200"/>
    </row>
    <row r="318">
      <c r="B318" s="200"/>
      <c r="K318" s="200"/>
    </row>
    <row r="319">
      <c r="B319" s="200"/>
      <c r="K319" s="200"/>
    </row>
    <row r="320">
      <c r="B320" s="200"/>
      <c r="K320" s="200"/>
    </row>
    <row r="321">
      <c r="B321" s="200"/>
      <c r="K321" s="200"/>
    </row>
    <row r="322">
      <c r="B322" s="200"/>
      <c r="K322" s="200"/>
    </row>
    <row r="323">
      <c r="B323" s="200"/>
      <c r="K323" s="200"/>
    </row>
    <row r="324">
      <c r="B324" s="200"/>
      <c r="K324" s="200"/>
    </row>
    <row r="325">
      <c r="B325" s="200"/>
      <c r="K325" s="200"/>
    </row>
    <row r="326">
      <c r="B326" s="200"/>
      <c r="K326" s="200"/>
    </row>
    <row r="327">
      <c r="B327" s="200"/>
      <c r="K327" s="200"/>
    </row>
    <row r="328">
      <c r="B328" s="200"/>
      <c r="K328" s="200"/>
    </row>
    <row r="329">
      <c r="B329" s="200"/>
      <c r="K329" s="200"/>
    </row>
    <row r="330">
      <c r="B330" s="200"/>
      <c r="K330" s="200"/>
    </row>
    <row r="331">
      <c r="B331" s="200"/>
      <c r="K331" s="200"/>
    </row>
    <row r="332">
      <c r="B332" s="200"/>
      <c r="K332" s="200"/>
    </row>
    <row r="333">
      <c r="B333" s="200"/>
      <c r="K333" s="200"/>
    </row>
    <row r="334">
      <c r="B334" s="200"/>
      <c r="K334" s="200"/>
    </row>
    <row r="335">
      <c r="B335" s="200"/>
      <c r="K335" s="200"/>
    </row>
    <row r="336">
      <c r="B336" s="200"/>
      <c r="K336" s="200"/>
    </row>
    <row r="337">
      <c r="B337" s="200"/>
      <c r="K337" s="200"/>
    </row>
    <row r="338">
      <c r="B338" s="200"/>
      <c r="K338" s="200"/>
    </row>
    <row r="339">
      <c r="B339" s="200"/>
      <c r="K339" s="200"/>
    </row>
    <row r="340">
      <c r="B340" s="200"/>
      <c r="K340" s="200"/>
    </row>
    <row r="341">
      <c r="B341" s="200"/>
      <c r="K341" s="200"/>
    </row>
    <row r="342">
      <c r="B342" s="200"/>
      <c r="K342" s="200"/>
    </row>
    <row r="343">
      <c r="B343" s="200"/>
      <c r="K343" s="200"/>
    </row>
    <row r="344">
      <c r="B344" s="200"/>
      <c r="K344" s="200"/>
    </row>
    <row r="345">
      <c r="B345" s="200"/>
      <c r="K345" s="200"/>
    </row>
    <row r="346">
      <c r="B346" s="200"/>
      <c r="K346" s="200"/>
    </row>
    <row r="347">
      <c r="B347" s="200"/>
      <c r="K347" s="200"/>
    </row>
    <row r="348">
      <c r="B348" s="200"/>
      <c r="K348" s="200"/>
    </row>
    <row r="349">
      <c r="B349" s="200"/>
      <c r="K349" s="200"/>
    </row>
    <row r="350">
      <c r="B350" s="200"/>
      <c r="K350" s="200"/>
    </row>
    <row r="351">
      <c r="B351" s="200"/>
      <c r="K351" s="200"/>
    </row>
    <row r="352">
      <c r="B352" s="200"/>
      <c r="K352" s="200"/>
    </row>
    <row r="353">
      <c r="B353" s="200"/>
      <c r="K353" s="200"/>
    </row>
    <row r="354">
      <c r="B354" s="200"/>
      <c r="K354" s="200"/>
    </row>
    <row r="355">
      <c r="B355" s="200"/>
      <c r="K355" s="200"/>
    </row>
    <row r="356">
      <c r="B356" s="200"/>
      <c r="K356" s="200"/>
    </row>
    <row r="357">
      <c r="B357" s="200"/>
      <c r="K357" s="200"/>
    </row>
    <row r="358">
      <c r="B358" s="200"/>
      <c r="K358" s="200"/>
    </row>
    <row r="359">
      <c r="B359" s="200"/>
      <c r="K359" s="200"/>
    </row>
    <row r="360">
      <c r="B360" s="200"/>
      <c r="K360" s="200"/>
    </row>
    <row r="361">
      <c r="B361" s="200"/>
      <c r="K361" s="200"/>
    </row>
    <row r="362">
      <c r="B362" s="200"/>
      <c r="K362" s="200"/>
    </row>
    <row r="363">
      <c r="B363" s="200"/>
      <c r="K363" s="200"/>
    </row>
    <row r="364">
      <c r="B364" s="200"/>
      <c r="K364" s="200"/>
    </row>
    <row r="365">
      <c r="B365" s="200"/>
      <c r="K365" s="200"/>
    </row>
    <row r="366">
      <c r="B366" s="200"/>
      <c r="K366" s="200"/>
    </row>
    <row r="367">
      <c r="B367" s="200"/>
      <c r="K367" s="200"/>
    </row>
    <row r="368">
      <c r="B368" s="200"/>
      <c r="K368" s="200"/>
    </row>
    <row r="369">
      <c r="B369" s="200"/>
      <c r="K369" s="200"/>
    </row>
    <row r="370">
      <c r="B370" s="200"/>
      <c r="K370" s="200"/>
    </row>
    <row r="371">
      <c r="B371" s="200"/>
      <c r="K371" s="200"/>
    </row>
    <row r="372">
      <c r="B372" s="200"/>
      <c r="K372" s="200"/>
    </row>
    <row r="373">
      <c r="B373" s="200"/>
      <c r="K373" s="200"/>
    </row>
    <row r="374">
      <c r="B374" s="200"/>
      <c r="K374" s="200"/>
    </row>
    <row r="375">
      <c r="B375" s="200"/>
      <c r="K375" s="200"/>
    </row>
    <row r="376">
      <c r="B376" s="200"/>
      <c r="K376" s="200"/>
    </row>
    <row r="377">
      <c r="B377" s="200"/>
      <c r="K377" s="200"/>
    </row>
    <row r="378">
      <c r="B378" s="200"/>
      <c r="K378" s="200"/>
    </row>
    <row r="379">
      <c r="B379" s="200"/>
      <c r="K379" s="200"/>
    </row>
    <row r="380">
      <c r="B380" s="200"/>
      <c r="K380" s="200"/>
    </row>
    <row r="381">
      <c r="B381" s="200"/>
      <c r="K381" s="200"/>
    </row>
    <row r="382">
      <c r="B382" s="200"/>
      <c r="K382" s="200"/>
    </row>
    <row r="383">
      <c r="B383" s="200"/>
      <c r="K383" s="200"/>
    </row>
    <row r="384">
      <c r="B384" s="200"/>
      <c r="K384" s="200"/>
    </row>
    <row r="385">
      <c r="B385" s="200"/>
      <c r="K385" s="200"/>
    </row>
    <row r="386">
      <c r="B386" s="200"/>
      <c r="K386" s="200"/>
    </row>
    <row r="387">
      <c r="B387" s="200"/>
      <c r="K387" s="200"/>
    </row>
    <row r="388">
      <c r="B388" s="200"/>
      <c r="K388" s="200"/>
    </row>
    <row r="389">
      <c r="B389" s="200"/>
      <c r="K389" s="200"/>
    </row>
    <row r="390">
      <c r="B390" s="200"/>
      <c r="K390" s="200"/>
    </row>
    <row r="391">
      <c r="B391" s="200"/>
      <c r="K391" s="200"/>
    </row>
    <row r="392">
      <c r="B392" s="200"/>
      <c r="K392" s="200"/>
    </row>
    <row r="393">
      <c r="B393" s="200"/>
      <c r="K393" s="200"/>
    </row>
    <row r="394">
      <c r="B394" s="200"/>
      <c r="K394" s="200"/>
    </row>
    <row r="395">
      <c r="B395" s="200"/>
      <c r="K395" s="200"/>
    </row>
    <row r="396">
      <c r="B396" s="200"/>
      <c r="K396" s="200"/>
    </row>
    <row r="397">
      <c r="B397" s="200"/>
      <c r="K397" s="200"/>
    </row>
    <row r="398">
      <c r="B398" s="200"/>
      <c r="K398" s="200"/>
    </row>
    <row r="399">
      <c r="B399" s="200"/>
      <c r="K399" s="200"/>
    </row>
    <row r="400">
      <c r="B400" s="200"/>
      <c r="K400" s="200"/>
    </row>
    <row r="401">
      <c r="B401" s="200"/>
      <c r="K401" s="200"/>
    </row>
    <row r="402">
      <c r="B402" s="200"/>
      <c r="K402" s="200"/>
    </row>
    <row r="403">
      <c r="B403" s="200"/>
      <c r="K403" s="200"/>
    </row>
    <row r="404">
      <c r="B404" s="200"/>
      <c r="K404" s="200"/>
    </row>
    <row r="405">
      <c r="B405" s="200"/>
      <c r="K405" s="200"/>
    </row>
    <row r="406">
      <c r="B406" s="200"/>
      <c r="K406" s="200"/>
    </row>
    <row r="407">
      <c r="B407" s="200"/>
      <c r="K407" s="200"/>
    </row>
    <row r="408">
      <c r="B408" s="200"/>
      <c r="K408" s="200"/>
    </row>
    <row r="409">
      <c r="B409" s="200"/>
      <c r="K409" s="200"/>
    </row>
    <row r="410">
      <c r="B410" s="200"/>
      <c r="K410" s="200"/>
    </row>
    <row r="411">
      <c r="B411" s="200"/>
      <c r="K411" s="200"/>
    </row>
    <row r="412">
      <c r="B412" s="200"/>
      <c r="K412" s="200"/>
    </row>
    <row r="413">
      <c r="B413" s="200"/>
      <c r="K413" s="200"/>
    </row>
    <row r="414">
      <c r="B414" s="200"/>
      <c r="K414" s="200"/>
    </row>
    <row r="415">
      <c r="B415" s="200"/>
      <c r="K415" s="200"/>
    </row>
    <row r="416">
      <c r="B416" s="200"/>
      <c r="K416" s="200"/>
    </row>
    <row r="417">
      <c r="B417" s="200"/>
      <c r="K417" s="200"/>
    </row>
    <row r="418">
      <c r="B418" s="200"/>
      <c r="K418" s="200"/>
    </row>
    <row r="419">
      <c r="B419" s="200"/>
      <c r="K419" s="200"/>
    </row>
    <row r="420">
      <c r="B420" s="200"/>
      <c r="K420" s="200"/>
    </row>
    <row r="421">
      <c r="B421" s="200"/>
      <c r="K421" s="200"/>
    </row>
    <row r="422">
      <c r="B422" s="200"/>
      <c r="K422" s="200"/>
    </row>
    <row r="423">
      <c r="B423" s="200"/>
      <c r="K423" s="200"/>
    </row>
    <row r="424">
      <c r="B424" s="200"/>
      <c r="K424" s="200"/>
    </row>
    <row r="425">
      <c r="B425" s="200"/>
      <c r="K425" s="200"/>
    </row>
    <row r="426">
      <c r="B426" s="200"/>
      <c r="K426" s="200"/>
    </row>
    <row r="427">
      <c r="B427" s="200"/>
      <c r="K427" s="200"/>
    </row>
    <row r="428">
      <c r="B428" s="200"/>
      <c r="K428" s="200"/>
    </row>
    <row r="429">
      <c r="B429" s="200"/>
      <c r="K429" s="200"/>
    </row>
    <row r="430">
      <c r="B430" s="200"/>
      <c r="K430" s="200"/>
    </row>
    <row r="431">
      <c r="B431" s="200"/>
      <c r="K431" s="200"/>
    </row>
    <row r="432">
      <c r="B432" s="200"/>
      <c r="K432" s="200"/>
    </row>
    <row r="433">
      <c r="B433" s="200"/>
      <c r="K433" s="200"/>
    </row>
    <row r="434">
      <c r="B434" s="200"/>
      <c r="K434" s="200"/>
    </row>
    <row r="435">
      <c r="B435" s="200"/>
      <c r="K435" s="200"/>
    </row>
    <row r="436">
      <c r="B436" s="200"/>
      <c r="K436" s="200"/>
    </row>
    <row r="437">
      <c r="B437" s="200"/>
      <c r="K437" s="200"/>
    </row>
    <row r="438">
      <c r="B438" s="200"/>
      <c r="K438" s="200"/>
    </row>
    <row r="439">
      <c r="B439" s="200"/>
      <c r="K439" s="200"/>
    </row>
    <row r="440">
      <c r="B440" s="200"/>
      <c r="K440" s="200"/>
    </row>
    <row r="441">
      <c r="B441" s="200"/>
      <c r="K441" s="200"/>
    </row>
    <row r="442">
      <c r="B442" s="200"/>
      <c r="K442" s="200"/>
    </row>
    <row r="443">
      <c r="B443" s="200"/>
      <c r="K443" s="200"/>
    </row>
    <row r="444">
      <c r="B444" s="200"/>
      <c r="K444" s="200"/>
    </row>
    <row r="445">
      <c r="B445" s="200"/>
      <c r="K445" s="200"/>
    </row>
    <row r="446">
      <c r="B446" s="200"/>
      <c r="K446" s="200"/>
    </row>
    <row r="447">
      <c r="B447" s="200"/>
      <c r="K447" s="200"/>
    </row>
    <row r="448">
      <c r="B448" s="200"/>
      <c r="K448" s="200"/>
    </row>
    <row r="449">
      <c r="B449" s="200"/>
      <c r="K449" s="200"/>
    </row>
    <row r="450">
      <c r="B450" s="200"/>
      <c r="K450" s="200"/>
    </row>
    <row r="451">
      <c r="B451" s="200"/>
      <c r="K451" s="200"/>
    </row>
    <row r="452">
      <c r="B452" s="200"/>
      <c r="K452" s="200"/>
    </row>
    <row r="453">
      <c r="B453" s="200"/>
      <c r="K453" s="200"/>
    </row>
    <row r="454">
      <c r="B454" s="200"/>
      <c r="K454" s="200"/>
    </row>
    <row r="455">
      <c r="B455" s="200"/>
      <c r="K455" s="200"/>
    </row>
    <row r="456">
      <c r="B456" s="200"/>
      <c r="K456" s="200"/>
    </row>
    <row r="457">
      <c r="B457" s="200"/>
      <c r="K457" s="200"/>
    </row>
    <row r="458">
      <c r="B458" s="200"/>
      <c r="K458" s="200"/>
    </row>
    <row r="459">
      <c r="B459" s="200"/>
      <c r="K459" s="200"/>
    </row>
    <row r="460">
      <c r="B460" s="200"/>
      <c r="K460" s="200"/>
    </row>
    <row r="461">
      <c r="B461" s="200"/>
      <c r="K461" s="200"/>
    </row>
    <row r="462">
      <c r="B462" s="200"/>
      <c r="K462" s="200"/>
    </row>
    <row r="463">
      <c r="B463" s="200"/>
      <c r="K463" s="200"/>
    </row>
    <row r="464">
      <c r="B464" s="200"/>
      <c r="K464" s="200"/>
    </row>
    <row r="465">
      <c r="B465" s="200"/>
      <c r="K465" s="200"/>
    </row>
    <row r="466">
      <c r="B466" s="200"/>
      <c r="K466" s="200"/>
    </row>
    <row r="467">
      <c r="B467" s="200"/>
      <c r="K467" s="200"/>
    </row>
    <row r="468">
      <c r="B468" s="200"/>
      <c r="K468" s="200"/>
    </row>
    <row r="469">
      <c r="B469" s="200"/>
      <c r="K469" s="200"/>
    </row>
    <row r="470">
      <c r="B470" s="200"/>
      <c r="K470" s="200"/>
    </row>
    <row r="471">
      <c r="B471" s="200"/>
      <c r="K471" s="200"/>
    </row>
    <row r="472">
      <c r="B472" s="200"/>
      <c r="K472" s="200"/>
    </row>
    <row r="473">
      <c r="B473" s="200"/>
      <c r="K473" s="200"/>
    </row>
    <row r="474">
      <c r="B474" s="200"/>
      <c r="K474" s="200"/>
    </row>
    <row r="475">
      <c r="B475" s="200"/>
      <c r="K475" s="200"/>
    </row>
    <row r="476">
      <c r="B476" s="200"/>
      <c r="K476" s="200"/>
    </row>
    <row r="477">
      <c r="B477" s="200"/>
      <c r="K477" s="200"/>
    </row>
    <row r="478">
      <c r="B478" s="200"/>
      <c r="K478" s="200"/>
    </row>
    <row r="479">
      <c r="B479" s="200"/>
      <c r="K479" s="200"/>
    </row>
    <row r="480">
      <c r="B480" s="200"/>
      <c r="K480" s="200"/>
    </row>
    <row r="481">
      <c r="B481" s="200"/>
      <c r="K481" s="200"/>
    </row>
    <row r="482">
      <c r="B482" s="200"/>
      <c r="K482" s="200"/>
    </row>
    <row r="483">
      <c r="B483" s="200"/>
      <c r="K483" s="200"/>
    </row>
    <row r="484">
      <c r="B484" s="200"/>
      <c r="K484" s="200"/>
    </row>
    <row r="485">
      <c r="B485" s="200"/>
      <c r="K485" s="200"/>
    </row>
    <row r="486">
      <c r="B486" s="200"/>
      <c r="K486" s="200"/>
    </row>
    <row r="487">
      <c r="B487" s="200"/>
      <c r="K487" s="200"/>
    </row>
    <row r="488">
      <c r="B488" s="200"/>
      <c r="K488" s="200"/>
    </row>
    <row r="489">
      <c r="B489" s="200"/>
      <c r="K489" s="200"/>
    </row>
    <row r="490">
      <c r="B490" s="200"/>
      <c r="K490" s="200"/>
    </row>
    <row r="491">
      <c r="B491" s="200"/>
      <c r="K491" s="200"/>
    </row>
    <row r="492">
      <c r="B492" s="200"/>
      <c r="K492" s="200"/>
    </row>
    <row r="493">
      <c r="B493" s="200"/>
      <c r="K493" s="200"/>
    </row>
    <row r="494">
      <c r="B494" s="200"/>
      <c r="K494" s="200"/>
    </row>
    <row r="495">
      <c r="B495" s="200"/>
      <c r="K495" s="200"/>
    </row>
    <row r="496">
      <c r="B496" s="200"/>
      <c r="K496" s="200"/>
    </row>
    <row r="497">
      <c r="B497" s="200"/>
      <c r="K497" s="200"/>
    </row>
    <row r="498">
      <c r="B498" s="200"/>
      <c r="K498" s="200"/>
    </row>
    <row r="499">
      <c r="B499" s="200"/>
      <c r="K499" s="200"/>
    </row>
    <row r="500">
      <c r="B500" s="200"/>
      <c r="K500" s="200"/>
    </row>
    <row r="501">
      <c r="B501" s="200"/>
      <c r="K501" s="200"/>
    </row>
    <row r="502">
      <c r="B502" s="200"/>
      <c r="K502" s="200"/>
    </row>
    <row r="503">
      <c r="B503" s="200"/>
      <c r="K503" s="200"/>
    </row>
    <row r="504">
      <c r="B504" s="200"/>
      <c r="K504" s="200"/>
    </row>
    <row r="505">
      <c r="B505" s="200"/>
      <c r="K505" s="200"/>
    </row>
    <row r="506">
      <c r="B506" s="200"/>
      <c r="K506" s="200"/>
    </row>
    <row r="507">
      <c r="B507" s="200"/>
      <c r="K507" s="200"/>
    </row>
    <row r="508">
      <c r="B508" s="200"/>
      <c r="K508" s="200"/>
    </row>
    <row r="509">
      <c r="B509" s="200"/>
      <c r="K509" s="200"/>
    </row>
    <row r="510">
      <c r="B510" s="200"/>
      <c r="K510" s="200"/>
    </row>
    <row r="511">
      <c r="B511" s="200"/>
      <c r="K511" s="200"/>
    </row>
    <row r="512">
      <c r="B512" s="200"/>
      <c r="K512" s="200"/>
    </row>
    <row r="513">
      <c r="B513" s="200"/>
      <c r="K513" s="200"/>
    </row>
    <row r="514">
      <c r="B514" s="200"/>
      <c r="K514" s="200"/>
    </row>
    <row r="515">
      <c r="B515" s="200"/>
      <c r="K515" s="200"/>
    </row>
    <row r="516">
      <c r="B516" s="200"/>
      <c r="K516" s="200"/>
    </row>
    <row r="517">
      <c r="B517" s="200"/>
      <c r="K517" s="200"/>
    </row>
    <row r="518">
      <c r="B518" s="200"/>
      <c r="K518" s="200"/>
    </row>
    <row r="519">
      <c r="B519" s="200"/>
      <c r="K519" s="200"/>
    </row>
    <row r="520">
      <c r="B520" s="200"/>
      <c r="K520" s="200"/>
    </row>
    <row r="521">
      <c r="B521" s="200"/>
      <c r="K521" s="200"/>
    </row>
    <row r="522">
      <c r="B522" s="200"/>
      <c r="K522" s="200"/>
    </row>
    <row r="523">
      <c r="B523" s="200"/>
      <c r="K523" s="200"/>
    </row>
    <row r="524">
      <c r="B524" s="200"/>
      <c r="K524" s="200"/>
    </row>
    <row r="525">
      <c r="B525" s="200"/>
      <c r="K525" s="200"/>
    </row>
    <row r="526">
      <c r="B526" s="200"/>
      <c r="K526" s="200"/>
    </row>
    <row r="527">
      <c r="B527" s="200"/>
      <c r="K527" s="200"/>
    </row>
    <row r="528">
      <c r="B528" s="200"/>
      <c r="K528" s="200"/>
    </row>
    <row r="529">
      <c r="B529" s="200"/>
      <c r="K529" s="200"/>
    </row>
    <row r="530">
      <c r="B530" s="200"/>
      <c r="K530" s="200"/>
    </row>
    <row r="531">
      <c r="B531" s="200"/>
      <c r="K531" s="200"/>
    </row>
    <row r="532">
      <c r="B532" s="200"/>
      <c r="K532" s="200"/>
    </row>
    <row r="533">
      <c r="B533" s="200"/>
      <c r="K533" s="200"/>
    </row>
    <row r="534">
      <c r="B534" s="200"/>
      <c r="K534" s="200"/>
    </row>
    <row r="535">
      <c r="B535" s="200"/>
      <c r="K535" s="200"/>
    </row>
    <row r="536">
      <c r="B536" s="200"/>
      <c r="K536" s="200"/>
    </row>
    <row r="537">
      <c r="B537" s="200"/>
      <c r="K537" s="200"/>
    </row>
    <row r="538">
      <c r="B538" s="200"/>
      <c r="K538" s="200"/>
    </row>
    <row r="539">
      <c r="B539" s="200"/>
      <c r="K539" s="200"/>
    </row>
    <row r="540">
      <c r="B540" s="200"/>
      <c r="K540" s="200"/>
    </row>
    <row r="541">
      <c r="B541" s="200"/>
      <c r="K541" s="200"/>
    </row>
    <row r="542">
      <c r="B542" s="200"/>
      <c r="K542" s="200"/>
    </row>
    <row r="543">
      <c r="B543" s="200"/>
      <c r="K543" s="200"/>
    </row>
    <row r="544">
      <c r="B544" s="200"/>
      <c r="K544" s="200"/>
    </row>
    <row r="545">
      <c r="B545" s="200"/>
      <c r="K545" s="200"/>
    </row>
    <row r="546">
      <c r="B546" s="200"/>
      <c r="K546" s="200"/>
    </row>
    <row r="547">
      <c r="B547" s="200"/>
      <c r="K547" s="200"/>
    </row>
    <row r="548">
      <c r="B548" s="200"/>
      <c r="K548" s="200"/>
    </row>
    <row r="549">
      <c r="B549" s="200"/>
      <c r="K549" s="200"/>
    </row>
    <row r="550">
      <c r="B550" s="200"/>
      <c r="K550" s="200"/>
    </row>
    <row r="551">
      <c r="B551" s="200"/>
      <c r="K551" s="200"/>
    </row>
    <row r="552">
      <c r="B552" s="200"/>
      <c r="K552" s="200"/>
    </row>
    <row r="553">
      <c r="B553" s="200"/>
      <c r="K553" s="200"/>
    </row>
    <row r="554">
      <c r="B554" s="200"/>
      <c r="K554" s="200"/>
    </row>
    <row r="555">
      <c r="B555" s="200"/>
      <c r="K555" s="200"/>
    </row>
    <row r="556">
      <c r="B556" s="200"/>
      <c r="K556" s="200"/>
    </row>
    <row r="557">
      <c r="B557" s="200"/>
      <c r="K557" s="200"/>
    </row>
    <row r="558">
      <c r="B558" s="200"/>
      <c r="K558" s="200"/>
    </row>
    <row r="559">
      <c r="B559" s="200"/>
      <c r="K559" s="200"/>
    </row>
    <row r="560">
      <c r="B560" s="200"/>
      <c r="K560" s="200"/>
    </row>
    <row r="561">
      <c r="B561" s="200"/>
      <c r="K561" s="200"/>
    </row>
    <row r="562">
      <c r="B562" s="200"/>
      <c r="K562" s="200"/>
    </row>
    <row r="563">
      <c r="B563" s="200"/>
      <c r="K563" s="200"/>
    </row>
    <row r="564">
      <c r="B564" s="200"/>
      <c r="K564" s="200"/>
    </row>
    <row r="565">
      <c r="B565" s="200"/>
      <c r="K565" s="200"/>
    </row>
    <row r="566">
      <c r="B566" s="200"/>
      <c r="K566" s="200"/>
    </row>
    <row r="567">
      <c r="B567" s="200"/>
      <c r="K567" s="200"/>
    </row>
    <row r="568">
      <c r="B568" s="200"/>
      <c r="K568" s="200"/>
    </row>
    <row r="569">
      <c r="B569" s="200"/>
      <c r="K569" s="200"/>
    </row>
    <row r="570">
      <c r="B570" s="200"/>
      <c r="K570" s="200"/>
    </row>
    <row r="571">
      <c r="B571" s="200"/>
      <c r="K571" s="200"/>
    </row>
    <row r="572">
      <c r="B572" s="200"/>
      <c r="K572" s="200"/>
    </row>
    <row r="573">
      <c r="B573" s="200"/>
      <c r="K573" s="200"/>
    </row>
    <row r="574">
      <c r="B574" s="200"/>
      <c r="K574" s="200"/>
    </row>
    <row r="575">
      <c r="B575" s="200"/>
      <c r="K575" s="200"/>
    </row>
    <row r="576">
      <c r="B576" s="200"/>
      <c r="K576" s="200"/>
    </row>
    <row r="577">
      <c r="B577" s="200"/>
      <c r="K577" s="200"/>
    </row>
    <row r="578">
      <c r="B578" s="200"/>
      <c r="K578" s="200"/>
    </row>
    <row r="579">
      <c r="B579" s="200"/>
      <c r="K579" s="200"/>
    </row>
    <row r="580">
      <c r="B580" s="200"/>
      <c r="K580" s="200"/>
    </row>
    <row r="581">
      <c r="B581" s="200"/>
      <c r="K581" s="200"/>
    </row>
    <row r="582">
      <c r="B582" s="200"/>
      <c r="K582" s="200"/>
    </row>
    <row r="583">
      <c r="B583" s="200"/>
      <c r="K583" s="200"/>
    </row>
    <row r="584">
      <c r="B584" s="200"/>
      <c r="K584" s="200"/>
    </row>
    <row r="585">
      <c r="B585" s="200"/>
      <c r="K585" s="200"/>
    </row>
    <row r="586">
      <c r="B586" s="200"/>
      <c r="K586" s="200"/>
    </row>
    <row r="587">
      <c r="B587" s="200"/>
      <c r="K587" s="200"/>
    </row>
    <row r="588">
      <c r="B588" s="200"/>
      <c r="K588" s="200"/>
    </row>
    <row r="589">
      <c r="B589" s="200"/>
      <c r="K589" s="200"/>
    </row>
    <row r="590">
      <c r="B590" s="200"/>
      <c r="K590" s="200"/>
    </row>
    <row r="591">
      <c r="B591" s="200"/>
      <c r="K591" s="200"/>
    </row>
    <row r="592">
      <c r="B592" s="200"/>
      <c r="K592" s="200"/>
    </row>
    <row r="593">
      <c r="B593" s="200"/>
      <c r="K593" s="200"/>
    </row>
    <row r="594">
      <c r="B594" s="200"/>
      <c r="K594" s="200"/>
    </row>
    <row r="595">
      <c r="B595" s="200"/>
      <c r="K595" s="200"/>
    </row>
    <row r="596">
      <c r="B596" s="200"/>
      <c r="K596" s="200"/>
    </row>
    <row r="597">
      <c r="B597" s="200"/>
      <c r="K597" s="200"/>
    </row>
    <row r="598">
      <c r="B598" s="200"/>
      <c r="K598" s="200"/>
    </row>
    <row r="599">
      <c r="B599" s="200"/>
      <c r="K599" s="200"/>
    </row>
    <row r="600">
      <c r="B600" s="200"/>
      <c r="K600" s="200"/>
    </row>
    <row r="601">
      <c r="B601" s="200"/>
      <c r="K601" s="200"/>
    </row>
    <row r="602">
      <c r="B602" s="200"/>
      <c r="K602" s="200"/>
    </row>
    <row r="603">
      <c r="B603" s="200"/>
      <c r="K603" s="200"/>
    </row>
    <row r="604">
      <c r="B604" s="200"/>
      <c r="K604" s="200"/>
    </row>
    <row r="605">
      <c r="B605" s="200"/>
      <c r="K605" s="200"/>
    </row>
    <row r="606">
      <c r="B606" s="200"/>
      <c r="K606" s="200"/>
    </row>
    <row r="607">
      <c r="B607" s="200"/>
      <c r="K607" s="200"/>
    </row>
    <row r="608">
      <c r="B608" s="200"/>
      <c r="K608" s="200"/>
    </row>
    <row r="609">
      <c r="B609" s="200"/>
      <c r="K609" s="200"/>
    </row>
    <row r="610">
      <c r="B610" s="200"/>
      <c r="K610" s="200"/>
    </row>
    <row r="611">
      <c r="B611" s="200"/>
      <c r="K611" s="200"/>
    </row>
    <row r="612">
      <c r="B612" s="200"/>
      <c r="K612" s="200"/>
    </row>
    <row r="613">
      <c r="B613" s="200"/>
      <c r="K613" s="200"/>
    </row>
    <row r="614">
      <c r="B614" s="200"/>
      <c r="K614" s="200"/>
    </row>
    <row r="615">
      <c r="B615" s="200"/>
      <c r="K615" s="200"/>
    </row>
    <row r="616">
      <c r="B616" s="200"/>
      <c r="K616" s="200"/>
    </row>
    <row r="617">
      <c r="B617" s="200"/>
      <c r="K617" s="200"/>
    </row>
    <row r="618">
      <c r="B618" s="200"/>
      <c r="K618" s="200"/>
    </row>
    <row r="619">
      <c r="B619" s="200"/>
      <c r="K619" s="200"/>
    </row>
    <row r="620">
      <c r="B620" s="200"/>
      <c r="K620" s="200"/>
    </row>
    <row r="621">
      <c r="B621" s="200"/>
      <c r="K621" s="200"/>
    </row>
    <row r="622">
      <c r="B622" s="200"/>
      <c r="K622" s="200"/>
    </row>
    <row r="623">
      <c r="B623" s="200"/>
      <c r="K623" s="200"/>
    </row>
    <row r="624">
      <c r="B624" s="200"/>
      <c r="K624" s="200"/>
    </row>
    <row r="625">
      <c r="B625" s="200"/>
      <c r="K625" s="200"/>
    </row>
    <row r="626">
      <c r="B626" s="200"/>
      <c r="K626" s="200"/>
    </row>
    <row r="627">
      <c r="B627" s="200"/>
      <c r="K627" s="200"/>
    </row>
    <row r="628">
      <c r="B628" s="200"/>
      <c r="K628" s="200"/>
    </row>
    <row r="629">
      <c r="B629" s="200"/>
      <c r="K629" s="200"/>
    </row>
    <row r="630">
      <c r="B630" s="200"/>
      <c r="K630" s="200"/>
    </row>
    <row r="631">
      <c r="B631" s="200"/>
      <c r="K631" s="200"/>
    </row>
    <row r="632">
      <c r="B632" s="200"/>
      <c r="K632" s="200"/>
    </row>
    <row r="633">
      <c r="B633" s="200"/>
      <c r="K633" s="200"/>
    </row>
    <row r="634">
      <c r="B634" s="200"/>
      <c r="K634" s="200"/>
    </row>
    <row r="635">
      <c r="B635" s="200"/>
      <c r="K635" s="200"/>
    </row>
    <row r="636">
      <c r="B636" s="200"/>
      <c r="K636" s="200"/>
    </row>
    <row r="637">
      <c r="B637" s="200"/>
      <c r="K637" s="200"/>
    </row>
    <row r="638">
      <c r="B638" s="200"/>
      <c r="K638" s="200"/>
    </row>
    <row r="639">
      <c r="B639" s="200"/>
      <c r="K639" s="200"/>
    </row>
    <row r="640">
      <c r="B640" s="200"/>
      <c r="K640" s="200"/>
    </row>
    <row r="641">
      <c r="B641" s="200"/>
      <c r="K641" s="200"/>
    </row>
    <row r="642">
      <c r="B642" s="200"/>
      <c r="K642" s="200"/>
    </row>
    <row r="643">
      <c r="B643" s="200"/>
      <c r="K643" s="200"/>
    </row>
    <row r="644">
      <c r="B644" s="200"/>
      <c r="K644" s="200"/>
    </row>
    <row r="645">
      <c r="B645" s="200"/>
      <c r="K645" s="200"/>
    </row>
    <row r="646">
      <c r="B646" s="200"/>
      <c r="K646" s="200"/>
    </row>
    <row r="647">
      <c r="B647" s="200"/>
      <c r="K647" s="200"/>
    </row>
    <row r="648">
      <c r="B648" s="200"/>
      <c r="K648" s="200"/>
    </row>
    <row r="649">
      <c r="B649" s="200"/>
      <c r="K649" s="200"/>
    </row>
    <row r="650">
      <c r="B650" s="200"/>
      <c r="K650" s="200"/>
    </row>
    <row r="651">
      <c r="B651" s="200"/>
      <c r="K651" s="200"/>
    </row>
    <row r="652">
      <c r="B652" s="200"/>
      <c r="K652" s="200"/>
    </row>
    <row r="653">
      <c r="B653" s="200"/>
      <c r="K653" s="200"/>
    </row>
    <row r="654">
      <c r="B654" s="200"/>
      <c r="K654" s="200"/>
    </row>
    <row r="655">
      <c r="B655" s="200"/>
      <c r="K655" s="200"/>
    </row>
    <row r="656">
      <c r="B656" s="200"/>
      <c r="K656" s="200"/>
    </row>
    <row r="657">
      <c r="B657" s="200"/>
      <c r="K657" s="200"/>
    </row>
    <row r="658">
      <c r="B658" s="200"/>
      <c r="K658" s="200"/>
    </row>
    <row r="659">
      <c r="B659" s="200"/>
      <c r="K659" s="200"/>
    </row>
    <row r="660">
      <c r="B660" s="200"/>
      <c r="K660" s="200"/>
    </row>
    <row r="661">
      <c r="B661" s="200"/>
      <c r="K661" s="200"/>
    </row>
    <row r="662">
      <c r="B662" s="200"/>
      <c r="K662" s="200"/>
    </row>
    <row r="663">
      <c r="B663" s="200"/>
      <c r="K663" s="200"/>
    </row>
    <row r="664">
      <c r="B664" s="200"/>
      <c r="K664" s="200"/>
    </row>
    <row r="665">
      <c r="B665" s="200"/>
      <c r="K665" s="200"/>
    </row>
    <row r="666">
      <c r="B666" s="200"/>
      <c r="K666" s="200"/>
    </row>
    <row r="667">
      <c r="B667" s="200"/>
      <c r="K667" s="200"/>
    </row>
    <row r="668">
      <c r="B668" s="200"/>
      <c r="K668" s="200"/>
    </row>
    <row r="669">
      <c r="B669" s="200"/>
      <c r="K669" s="200"/>
    </row>
    <row r="670">
      <c r="B670" s="200"/>
      <c r="K670" s="200"/>
    </row>
    <row r="671">
      <c r="B671" s="200"/>
      <c r="K671" s="200"/>
    </row>
    <row r="672">
      <c r="B672" s="200"/>
      <c r="K672" s="200"/>
    </row>
    <row r="673">
      <c r="B673" s="200"/>
      <c r="K673" s="200"/>
    </row>
    <row r="674">
      <c r="B674" s="200"/>
      <c r="K674" s="200"/>
    </row>
    <row r="675">
      <c r="B675" s="200"/>
      <c r="K675" s="200"/>
    </row>
    <row r="676">
      <c r="B676" s="200"/>
      <c r="K676" s="200"/>
    </row>
    <row r="677">
      <c r="B677" s="200"/>
      <c r="K677" s="200"/>
    </row>
    <row r="678">
      <c r="B678" s="200"/>
      <c r="K678" s="200"/>
    </row>
    <row r="679">
      <c r="B679" s="200"/>
      <c r="K679" s="200"/>
    </row>
    <row r="680">
      <c r="B680" s="200"/>
      <c r="K680" s="200"/>
    </row>
    <row r="681">
      <c r="B681" s="200"/>
      <c r="K681" s="200"/>
    </row>
    <row r="682">
      <c r="B682" s="200"/>
      <c r="K682" s="200"/>
    </row>
    <row r="683">
      <c r="B683" s="200"/>
      <c r="K683" s="200"/>
    </row>
    <row r="684">
      <c r="B684" s="200"/>
      <c r="K684" s="200"/>
    </row>
    <row r="685">
      <c r="B685" s="200"/>
      <c r="K685" s="200"/>
    </row>
    <row r="686">
      <c r="B686" s="200"/>
      <c r="K686" s="200"/>
    </row>
    <row r="687">
      <c r="B687" s="200"/>
      <c r="K687" s="200"/>
    </row>
    <row r="688">
      <c r="B688" s="200"/>
      <c r="K688" s="200"/>
    </row>
    <row r="689">
      <c r="B689" s="200"/>
      <c r="K689" s="200"/>
    </row>
    <row r="690">
      <c r="B690" s="200"/>
      <c r="K690" s="200"/>
    </row>
    <row r="691">
      <c r="B691" s="200"/>
      <c r="K691" s="200"/>
    </row>
    <row r="692">
      <c r="B692" s="200"/>
      <c r="K692" s="200"/>
    </row>
    <row r="693">
      <c r="B693" s="200"/>
      <c r="K693" s="200"/>
    </row>
    <row r="694">
      <c r="B694" s="200"/>
      <c r="K694" s="200"/>
    </row>
    <row r="695">
      <c r="B695" s="200"/>
      <c r="K695" s="200"/>
    </row>
    <row r="696">
      <c r="B696" s="200"/>
      <c r="K696" s="200"/>
    </row>
    <row r="697">
      <c r="B697" s="200"/>
      <c r="K697" s="200"/>
    </row>
    <row r="698">
      <c r="B698" s="200"/>
      <c r="K698" s="200"/>
    </row>
    <row r="699">
      <c r="B699" s="200"/>
      <c r="K699" s="200"/>
    </row>
    <row r="700">
      <c r="B700" s="200"/>
      <c r="K700" s="200"/>
    </row>
    <row r="701">
      <c r="B701" s="200"/>
      <c r="K701" s="200"/>
    </row>
    <row r="702">
      <c r="B702" s="200"/>
      <c r="K702" s="200"/>
    </row>
    <row r="703">
      <c r="B703" s="200"/>
      <c r="K703" s="200"/>
    </row>
    <row r="704">
      <c r="B704" s="200"/>
      <c r="K704" s="200"/>
    </row>
    <row r="705">
      <c r="B705" s="200"/>
      <c r="K705" s="200"/>
    </row>
    <row r="706">
      <c r="B706" s="200"/>
      <c r="K706" s="200"/>
    </row>
    <row r="707">
      <c r="B707" s="200"/>
      <c r="K707" s="200"/>
    </row>
    <row r="708">
      <c r="B708" s="200"/>
      <c r="K708" s="200"/>
    </row>
    <row r="709">
      <c r="B709" s="200"/>
      <c r="K709" s="200"/>
    </row>
    <row r="710">
      <c r="B710" s="200"/>
      <c r="K710" s="200"/>
    </row>
    <row r="711">
      <c r="B711" s="200"/>
      <c r="K711" s="200"/>
    </row>
    <row r="712">
      <c r="B712" s="200"/>
      <c r="K712" s="200"/>
    </row>
    <row r="713">
      <c r="B713" s="200"/>
      <c r="K713" s="200"/>
    </row>
    <row r="714">
      <c r="B714" s="200"/>
      <c r="K714" s="200"/>
    </row>
    <row r="715">
      <c r="B715" s="200"/>
      <c r="K715" s="200"/>
    </row>
    <row r="716">
      <c r="B716" s="200"/>
      <c r="K716" s="200"/>
    </row>
    <row r="717">
      <c r="B717" s="200"/>
      <c r="K717" s="200"/>
    </row>
    <row r="718">
      <c r="B718" s="200"/>
      <c r="K718" s="200"/>
    </row>
    <row r="719">
      <c r="B719" s="200"/>
      <c r="K719" s="200"/>
    </row>
    <row r="720">
      <c r="B720" s="200"/>
      <c r="K720" s="200"/>
    </row>
    <row r="721">
      <c r="B721" s="200"/>
      <c r="K721" s="200"/>
    </row>
    <row r="722">
      <c r="B722" s="200"/>
      <c r="K722" s="200"/>
    </row>
    <row r="723">
      <c r="B723" s="200"/>
      <c r="K723" s="200"/>
    </row>
    <row r="724">
      <c r="B724" s="200"/>
      <c r="K724" s="200"/>
    </row>
    <row r="725">
      <c r="B725" s="200"/>
      <c r="K725" s="200"/>
    </row>
    <row r="726">
      <c r="B726" s="200"/>
      <c r="K726" s="200"/>
    </row>
    <row r="727">
      <c r="B727" s="200"/>
      <c r="K727" s="200"/>
    </row>
    <row r="728">
      <c r="B728" s="200"/>
      <c r="K728" s="200"/>
    </row>
    <row r="729">
      <c r="B729" s="200"/>
      <c r="K729" s="200"/>
    </row>
    <row r="730">
      <c r="B730" s="200"/>
      <c r="K730" s="200"/>
    </row>
    <row r="731">
      <c r="B731" s="200"/>
      <c r="K731" s="200"/>
    </row>
    <row r="732">
      <c r="B732" s="200"/>
      <c r="K732" s="200"/>
    </row>
    <row r="733">
      <c r="B733" s="200"/>
      <c r="K733" s="200"/>
    </row>
    <row r="734">
      <c r="B734" s="200"/>
      <c r="K734" s="200"/>
    </row>
    <row r="735">
      <c r="B735" s="200"/>
      <c r="K735" s="200"/>
    </row>
    <row r="736">
      <c r="B736" s="200"/>
      <c r="K736" s="200"/>
    </row>
    <row r="737">
      <c r="B737" s="200"/>
      <c r="K737" s="200"/>
    </row>
    <row r="738">
      <c r="B738" s="200"/>
      <c r="K738" s="200"/>
    </row>
    <row r="739">
      <c r="B739" s="200"/>
      <c r="K739" s="200"/>
    </row>
    <row r="740">
      <c r="B740" s="200"/>
      <c r="K740" s="200"/>
    </row>
    <row r="741">
      <c r="B741" s="200"/>
      <c r="K741" s="200"/>
    </row>
    <row r="742">
      <c r="B742" s="200"/>
      <c r="K742" s="200"/>
    </row>
    <row r="743">
      <c r="B743" s="200"/>
      <c r="K743" s="200"/>
    </row>
    <row r="744">
      <c r="B744" s="200"/>
      <c r="K744" s="200"/>
    </row>
    <row r="745">
      <c r="B745" s="200"/>
      <c r="K745" s="200"/>
    </row>
    <row r="746">
      <c r="B746" s="200"/>
      <c r="K746" s="200"/>
    </row>
    <row r="747">
      <c r="B747" s="200"/>
      <c r="K747" s="200"/>
    </row>
    <row r="748">
      <c r="B748" s="200"/>
      <c r="K748" s="200"/>
    </row>
    <row r="749">
      <c r="B749" s="200"/>
      <c r="K749" s="200"/>
    </row>
    <row r="750">
      <c r="B750" s="200"/>
      <c r="K750" s="200"/>
    </row>
    <row r="751">
      <c r="B751" s="200"/>
      <c r="K751" s="200"/>
    </row>
    <row r="752">
      <c r="B752" s="200"/>
      <c r="K752" s="200"/>
    </row>
    <row r="753">
      <c r="B753" s="200"/>
      <c r="K753" s="200"/>
    </row>
    <row r="754">
      <c r="B754" s="200"/>
      <c r="K754" s="200"/>
    </row>
    <row r="755">
      <c r="B755" s="200"/>
      <c r="K755" s="200"/>
    </row>
    <row r="756">
      <c r="B756" s="200"/>
      <c r="K756" s="200"/>
    </row>
    <row r="757">
      <c r="B757" s="200"/>
      <c r="K757" s="200"/>
    </row>
    <row r="758">
      <c r="B758" s="200"/>
      <c r="K758" s="200"/>
    </row>
    <row r="759">
      <c r="B759" s="200"/>
      <c r="K759" s="200"/>
    </row>
    <row r="760">
      <c r="B760" s="200"/>
      <c r="K760" s="200"/>
    </row>
    <row r="761">
      <c r="B761" s="200"/>
      <c r="K761" s="200"/>
    </row>
    <row r="762">
      <c r="B762" s="200"/>
      <c r="K762" s="200"/>
    </row>
    <row r="763">
      <c r="B763" s="200"/>
      <c r="K763" s="200"/>
    </row>
    <row r="764">
      <c r="B764" s="200"/>
      <c r="K764" s="200"/>
    </row>
    <row r="765">
      <c r="B765" s="200"/>
      <c r="K765" s="200"/>
    </row>
    <row r="766">
      <c r="B766" s="200"/>
      <c r="K766" s="200"/>
    </row>
    <row r="767">
      <c r="B767" s="200"/>
      <c r="K767" s="200"/>
    </row>
    <row r="768">
      <c r="B768" s="200"/>
      <c r="K768" s="200"/>
    </row>
    <row r="769">
      <c r="B769" s="200"/>
      <c r="K769" s="200"/>
    </row>
    <row r="770">
      <c r="B770" s="200"/>
      <c r="K770" s="200"/>
    </row>
    <row r="771">
      <c r="B771" s="200"/>
      <c r="K771" s="200"/>
    </row>
    <row r="772">
      <c r="B772" s="200"/>
      <c r="K772" s="200"/>
    </row>
    <row r="773">
      <c r="B773" s="200"/>
      <c r="K773" s="200"/>
    </row>
    <row r="774">
      <c r="B774" s="200"/>
      <c r="K774" s="200"/>
    </row>
    <row r="775">
      <c r="B775" s="200"/>
      <c r="K775" s="200"/>
    </row>
    <row r="776">
      <c r="B776" s="200"/>
      <c r="K776" s="200"/>
    </row>
    <row r="777">
      <c r="B777" s="200"/>
      <c r="K777" s="200"/>
    </row>
    <row r="778">
      <c r="B778" s="200"/>
      <c r="K778" s="200"/>
    </row>
    <row r="779">
      <c r="B779" s="200"/>
      <c r="K779" s="200"/>
    </row>
    <row r="780">
      <c r="B780" s="200"/>
      <c r="K780" s="200"/>
    </row>
    <row r="781">
      <c r="B781" s="200"/>
      <c r="K781" s="200"/>
    </row>
    <row r="782">
      <c r="B782" s="200"/>
      <c r="K782" s="200"/>
    </row>
    <row r="783">
      <c r="B783" s="200"/>
      <c r="K783" s="200"/>
    </row>
    <row r="784">
      <c r="B784" s="200"/>
      <c r="K784" s="200"/>
    </row>
    <row r="785">
      <c r="B785" s="200"/>
      <c r="K785" s="200"/>
    </row>
    <row r="786">
      <c r="B786" s="200"/>
      <c r="K786" s="200"/>
    </row>
    <row r="787">
      <c r="B787" s="200"/>
      <c r="K787" s="200"/>
    </row>
    <row r="788">
      <c r="B788" s="200"/>
      <c r="K788" s="200"/>
    </row>
    <row r="789">
      <c r="B789" s="200"/>
      <c r="K789" s="200"/>
    </row>
    <row r="790">
      <c r="B790" s="200"/>
      <c r="K790" s="200"/>
    </row>
    <row r="791">
      <c r="B791" s="200"/>
      <c r="K791" s="200"/>
    </row>
    <row r="792">
      <c r="B792" s="200"/>
      <c r="K792" s="200"/>
    </row>
    <row r="793">
      <c r="B793" s="200"/>
      <c r="K793" s="200"/>
    </row>
    <row r="794">
      <c r="B794" s="200"/>
      <c r="K794" s="200"/>
    </row>
    <row r="795">
      <c r="B795" s="200"/>
      <c r="K795" s="200"/>
    </row>
    <row r="796">
      <c r="B796" s="200"/>
      <c r="K796" s="200"/>
    </row>
    <row r="797">
      <c r="B797" s="200"/>
      <c r="K797" s="200"/>
    </row>
    <row r="798">
      <c r="B798" s="200"/>
      <c r="K798" s="200"/>
    </row>
    <row r="799">
      <c r="B799" s="200"/>
      <c r="K799" s="200"/>
    </row>
    <row r="800">
      <c r="B800" s="200"/>
      <c r="K800" s="200"/>
    </row>
    <row r="801">
      <c r="B801" s="200"/>
      <c r="K801" s="200"/>
    </row>
    <row r="802">
      <c r="B802" s="200"/>
      <c r="K802" s="200"/>
    </row>
    <row r="803">
      <c r="B803" s="200"/>
      <c r="K803" s="200"/>
    </row>
    <row r="804">
      <c r="B804" s="200"/>
      <c r="K804" s="200"/>
    </row>
    <row r="805">
      <c r="B805" s="200"/>
      <c r="K805" s="200"/>
    </row>
    <row r="806">
      <c r="B806" s="200"/>
      <c r="K806" s="200"/>
    </row>
    <row r="807">
      <c r="B807" s="200"/>
      <c r="K807" s="200"/>
    </row>
    <row r="808">
      <c r="B808" s="200"/>
      <c r="K808" s="200"/>
    </row>
    <row r="809">
      <c r="B809" s="200"/>
      <c r="K809" s="200"/>
    </row>
    <row r="810">
      <c r="B810" s="200"/>
      <c r="K810" s="200"/>
    </row>
    <row r="811">
      <c r="B811" s="200"/>
      <c r="K811" s="200"/>
    </row>
    <row r="812">
      <c r="B812" s="200"/>
      <c r="K812" s="200"/>
    </row>
    <row r="813">
      <c r="B813" s="200"/>
      <c r="K813" s="200"/>
    </row>
    <row r="814">
      <c r="B814" s="200"/>
      <c r="K814" s="200"/>
    </row>
    <row r="815">
      <c r="B815" s="200"/>
      <c r="K815" s="200"/>
    </row>
    <row r="816">
      <c r="B816" s="200"/>
      <c r="K816" s="200"/>
    </row>
    <row r="817">
      <c r="B817" s="200"/>
      <c r="K817" s="200"/>
    </row>
    <row r="818">
      <c r="B818" s="200"/>
      <c r="K818" s="200"/>
    </row>
    <row r="819">
      <c r="B819" s="200"/>
      <c r="K819" s="200"/>
    </row>
    <row r="820">
      <c r="B820" s="200"/>
      <c r="K820" s="200"/>
    </row>
    <row r="821">
      <c r="B821" s="200"/>
      <c r="K821" s="200"/>
    </row>
    <row r="822">
      <c r="B822" s="200"/>
      <c r="K822" s="200"/>
    </row>
    <row r="823">
      <c r="B823" s="200"/>
      <c r="K823" s="200"/>
    </row>
    <row r="824">
      <c r="B824" s="200"/>
      <c r="K824" s="200"/>
    </row>
    <row r="825">
      <c r="B825" s="200"/>
      <c r="K825" s="200"/>
    </row>
    <row r="826">
      <c r="B826" s="200"/>
      <c r="K826" s="200"/>
    </row>
    <row r="827">
      <c r="B827" s="200"/>
      <c r="K827" s="200"/>
    </row>
    <row r="828">
      <c r="B828" s="200"/>
      <c r="K828" s="200"/>
    </row>
    <row r="829">
      <c r="B829" s="200"/>
      <c r="K829" s="200"/>
    </row>
    <row r="830">
      <c r="B830" s="200"/>
      <c r="K830" s="200"/>
    </row>
    <row r="831">
      <c r="B831" s="200"/>
      <c r="K831" s="200"/>
    </row>
    <row r="832">
      <c r="B832" s="200"/>
      <c r="K832" s="200"/>
    </row>
    <row r="833">
      <c r="B833" s="200"/>
      <c r="K833" s="200"/>
    </row>
    <row r="834">
      <c r="B834" s="200"/>
      <c r="K834" s="200"/>
    </row>
    <row r="835">
      <c r="B835" s="200"/>
      <c r="K835" s="200"/>
    </row>
    <row r="836">
      <c r="B836" s="200"/>
      <c r="K836" s="200"/>
    </row>
    <row r="837">
      <c r="B837" s="200"/>
      <c r="K837" s="200"/>
    </row>
    <row r="838">
      <c r="B838" s="200"/>
      <c r="K838" s="200"/>
    </row>
    <row r="839">
      <c r="B839" s="200"/>
      <c r="K839" s="200"/>
    </row>
    <row r="840">
      <c r="B840" s="200"/>
      <c r="K840" s="200"/>
    </row>
    <row r="841">
      <c r="B841" s="200"/>
      <c r="K841" s="200"/>
    </row>
    <row r="842">
      <c r="B842" s="200"/>
      <c r="K842" s="200"/>
    </row>
    <row r="843">
      <c r="B843" s="200"/>
      <c r="K843" s="200"/>
    </row>
    <row r="844">
      <c r="B844" s="200"/>
      <c r="K844" s="200"/>
    </row>
    <row r="845">
      <c r="B845" s="200"/>
      <c r="K845" s="200"/>
    </row>
    <row r="846">
      <c r="B846" s="200"/>
      <c r="K846" s="200"/>
    </row>
    <row r="847">
      <c r="B847" s="200"/>
      <c r="K847" s="200"/>
    </row>
    <row r="848">
      <c r="B848" s="200"/>
      <c r="K848" s="200"/>
    </row>
    <row r="849">
      <c r="B849" s="200"/>
      <c r="K849" s="200"/>
    </row>
    <row r="850">
      <c r="B850" s="200"/>
      <c r="K850" s="200"/>
    </row>
    <row r="851">
      <c r="B851" s="200"/>
      <c r="K851" s="200"/>
    </row>
    <row r="852">
      <c r="B852" s="200"/>
      <c r="K852" s="200"/>
    </row>
    <row r="853">
      <c r="B853" s="200"/>
      <c r="K853" s="200"/>
    </row>
    <row r="854">
      <c r="B854" s="200"/>
      <c r="K854" s="200"/>
    </row>
    <row r="855">
      <c r="B855" s="200"/>
      <c r="K855" s="200"/>
    </row>
    <row r="856">
      <c r="B856" s="200"/>
      <c r="K856" s="200"/>
    </row>
    <row r="857">
      <c r="B857" s="200"/>
      <c r="K857" s="200"/>
    </row>
    <row r="858">
      <c r="B858" s="200"/>
      <c r="K858" s="200"/>
    </row>
    <row r="859">
      <c r="B859" s="200"/>
      <c r="K859" s="200"/>
    </row>
    <row r="860">
      <c r="B860" s="200"/>
      <c r="K860" s="200"/>
    </row>
    <row r="861">
      <c r="B861" s="200"/>
      <c r="K861" s="200"/>
    </row>
    <row r="862">
      <c r="B862" s="200"/>
      <c r="K862" s="200"/>
    </row>
    <row r="863">
      <c r="B863" s="200"/>
      <c r="K863" s="200"/>
    </row>
    <row r="864">
      <c r="B864" s="200"/>
      <c r="K864" s="200"/>
    </row>
    <row r="865">
      <c r="B865" s="200"/>
      <c r="K865" s="200"/>
    </row>
    <row r="866">
      <c r="B866" s="200"/>
      <c r="K866" s="200"/>
    </row>
    <row r="867">
      <c r="B867" s="200"/>
      <c r="K867" s="200"/>
    </row>
    <row r="868">
      <c r="B868" s="200"/>
      <c r="K868" s="200"/>
    </row>
    <row r="869">
      <c r="B869" s="200"/>
      <c r="K869" s="200"/>
    </row>
    <row r="870">
      <c r="B870" s="200"/>
      <c r="K870" s="200"/>
    </row>
    <row r="871">
      <c r="B871" s="200"/>
      <c r="K871" s="200"/>
    </row>
    <row r="872">
      <c r="B872" s="200"/>
      <c r="K872" s="200"/>
    </row>
    <row r="873">
      <c r="B873" s="200"/>
      <c r="K873" s="200"/>
    </row>
    <row r="874">
      <c r="B874" s="200"/>
      <c r="K874" s="200"/>
    </row>
    <row r="875">
      <c r="B875" s="200"/>
      <c r="K875" s="200"/>
    </row>
    <row r="876">
      <c r="B876" s="200"/>
      <c r="K876" s="200"/>
    </row>
    <row r="877">
      <c r="B877" s="200"/>
      <c r="K877" s="200"/>
    </row>
    <row r="878">
      <c r="B878" s="200"/>
      <c r="K878" s="200"/>
    </row>
    <row r="879">
      <c r="B879" s="200"/>
      <c r="K879" s="200"/>
    </row>
    <row r="880">
      <c r="B880" s="200"/>
      <c r="K880" s="200"/>
    </row>
    <row r="881">
      <c r="B881" s="200"/>
      <c r="K881" s="200"/>
    </row>
    <row r="882">
      <c r="B882" s="200"/>
      <c r="K882" s="200"/>
    </row>
    <row r="883">
      <c r="B883" s="200"/>
      <c r="K883" s="200"/>
    </row>
    <row r="884">
      <c r="B884" s="200"/>
      <c r="K884" s="200"/>
    </row>
    <row r="885">
      <c r="B885" s="200"/>
      <c r="K885" s="200"/>
    </row>
    <row r="886">
      <c r="B886" s="200"/>
      <c r="K886" s="200"/>
    </row>
    <row r="887">
      <c r="B887" s="200"/>
      <c r="K887" s="200"/>
    </row>
    <row r="888">
      <c r="B888" s="200"/>
      <c r="K888" s="200"/>
    </row>
    <row r="889">
      <c r="B889" s="200"/>
      <c r="K889" s="200"/>
    </row>
    <row r="890">
      <c r="B890" s="200"/>
      <c r="K890" s="200"/>
    </row>
    <row r="891">
      <c r="B891" s="200"/>
      <c r="K891" s="200"/>
    </row>
    <row r="892">
      <c r="B892" s="200"/>
      <c r="K892" s="200"/>
    </row>
    <row r="893">
      <c r="B893" s="200"/>
      <c r="K893" s="200"/>
    </row>
    <row r="894">
      <c r="B894" s="200"/>
      <c r="K894" s="200"/>
    </row>
    <row r="895">
      <c r="B895" s="200"/>
      <c r="K895" s="200"/>
    </row>
    <row r="896">
      <c r="B896" s="200"/>
      <c r="K896" s="200"/>
    </row>
    <row r="897">
      <c r="B897" s="200"/>
      <c r="K897" s="200"/>
    </row>
    <row r="898">
      <c r="B898" s="200"/>
      <c r="K898" s="200"/>
    </row>
    <row r="899">
      <c r="B899" s="200"/>
      <c r="K899" s="200"/>
    </row>
    <row r="900">
      <c r="B900" s="200"/>
      <c r="K900" s="200"/>
    </row>
    <row r="901">
      <c r="B901" s="200"/>
      <c r="K901" s="200"/>
    </row>
    <row r="902">
      <c r="B902" s="200"/>
      <c r="K902" s="200"/>
    </row>
    <row r="903">
      <c r="B903" s="200"/>
      <c r="K903" s="200"/>
    </row>
    <row r="904">
      <c r="B904" s="200"/>
      <c r="K904" s="200"/>
    </row>
    <row r="905">
      <c r="B905" s="200"/>
      <c r="K905" s="200"/>
    </row>
    <row r="906">
      <c r="B906" s="200"/>
      <c r="K906" s="200"/>
    </row>
    <row r="907">
      <c r="B907" s="200"/>
      <c r="K907" s="200"/>
    </row>
    <row r="908">
      <c r="B908" s="200"/>
      <c r="K908" s="200"/>
    </row>
    <row r="909">
      <c r="B909" s="200"/>
      <c r="K909" s="200"/>
    </row>
    <row r="910">
      <c r="B910" s="200"/>
      <c r="K910" s="200"/>
    </row>
    <row r="911">
      <c r="B911" s="200"/>
      <c r="K911" s="200"/>
    </row>
    <row r="912">
      <c r="B912" s="200"/>
      <c r="K912" s="200"/>
    </row>
    <row r="913">
      <c r="B913" s="200"/>
      <c r="K913" s="200"/>
    </row>
    <row r="914">
      <c r="B914" s="200"/>
      <c r="K914" s="200"/>
    </row>
    <row r="915">
      <c r="B915" s="200"/>
      <c r="K915" s="200"/>
    </row>
    <row r="916">
      <c r="B916" s="200"/>
      <c r="K916" s="200"/>
    </row>
    <row r="917">
      <c r="B917" s="200"/>
      <c r="K917" s="200"/>
    </row>
    <row r="918">
      <c r="B918" s="200"/>
      <c r="K918" s="200"/>
    </row>
    <row r="919">
      <c r="B919" s="200"/>
      <c r="K919" s="200"/>
    </row>
    <row r="920">
      <c r="B920" s="200"/>
      <c r="K920" s="200"/>
    </row>
    <row r="921">
      <c r="B921" s="200"/>
      <c r="K921" s="200"/>
    </row>
    <row r="922">
      <c r="B922" s="200"/>
      <c r="K922" s="200"/>
    </row>
    <row r="923">
      <c r="B923" s="200"/>
      <c r="K923" s="200"/>
    </row>
    <row r="924">
      <c r="B924" s="200"/>
      <c r="K924" s="200"/>
    </row>
    <row r="925">
      <c r="B925" s="200"/>
      <c r="K925" s="200"/>
    </row>
    <row r="926">
      <c r="B926" s="200"/>
      <c r="K926" s="200"/>
    </row>
    <row r="927">
      <c r="B927" s="200"/>
      <c r="K927" s="200"/>
    </row>
    <row r="928">
      <c r="B928" s="200"/>
      <c r="K928" s="200"/>
    </row>
    <row r="929">
      <c r="B929" s="200"/>
      <c r="K929" s="200"/>
    </row>
    <row r="930">
      <c r="B930" s="200"/>
      <c r="K930" s="200"/>
    </row>
    <row r="931">
      <c r="B931" s="200"/>
      <c r="K931" s="200"/>
    </row>
    <row r="932">
      <c r="B932" s="200"/>
      <c r="K932" s="200"/>
    </row>
    <row r="933">
      <c r="B933" s="200"/>
      <c r="K933" s="200"/>
    </row>
    <row r="934">
      <c r="B934" s="200"/>
      <c r="K934" s="200"/>
    </row>
    <row r="935">
      <c r="B935" s="200"/>
      <c r="K935" s="200"/>
    </row>
    <row r="936">
      <c r="B936" s="200"/>
      <c r="K936" s="200"/>
    </row>
    <row r="937">
      <c r="B937" s="200"/>
      <c r="K937" s="200"/>
    </row>
    <row r="938">
      <c r="B938" s="200"/>
      <c r="K938" s="200"/>
    </row>
    <row r="939">
      <c r="B939" s="200"/>
      <c r="K939" s="200"/>
    </row>
    <row r="940">
      <c r="B940" s="200"/>
      <c r="K940" s="200"/>
    </row>
    <row r="941">
      <c r="B941" s="200"/>
      <c r="K941" s="200"/>
    </row>
    <row r="942">
      <c r="B942" s="200"/>
      <c r="K942" s="200"/>
    </row>
    <row r="943">
      <c r="B943" s="200"/>
      <c r="K943" s="200"/>
    </row>
    <row r="944">
      <c r="B944" s="200"/>
      <c r="K944" s="200"/>
    </row>
    <row r="945">
      <c r="B945" s="200"/>
      <c r="K945" s="200"/>
    </row>
    <row r="946">
      <c r="B946" s="200"/>
      <c r="K946" s="200"/>
    </row>
    <row r="947">
      <c r="B947" s="200"/>
      <c r="K947" s="200"/>
    </row>
    <row r="948">
      <c r="B948" s="200"/>
      <c r="K948" s="200"/>
    </row>
    <row r="949">
      <c r="B949" s="200"/>
      <c r="K949" s="200"/>
    </row>
    <row r="950">
      <c r="B950" s="200"/>
      <c r="K950" s="200"/>
    </row>
    <row r="951">
      <c r="B951" s="200"/>
      <c r="K951" s="200"/>
    </row>
    <row r="952">
      <c r="B952" s="200"/>
      <c r="K952" s="200"/>
    </row>
    <row r="953">
      <c r="B953" s="200"/>
      <c r="K953" s="200"/>
    </row>
    <row r="954">
      <c r="B954" s="200"/>
      <c r="K954" s="200"/>
    </row>
    <row r="955">
      <c r="B955" s="200"/>
      <c r="K955" s="200"/>
    </row>
    <row r="956">
      <c r="B956" s="200"/>
      <c r="K956" s="200"/>
    </row>
    <row r="957">
      <c r="B957" s="200"/>
      <c r="K957" s="200"/>
    </row>
    <row r="958">
      <c r="B958" s="200"/>
      <c r="K958" s="200"/>
    </row>
    <row r="959">
      <c r="B959" s="200"/>
      <c r="K959" s="200"/>
    </row>
    <row r="960">
      <c r="B960" s="200"/>
      <c r="K960" s="200"/>
    </row>
    <row r="961">
      <c r="B961" s="200"/>
      <c r="K961" s="200"/>
    </row>
    <row r="962">
      <c r="B962" s="200"/>
      <c r="K962" s="200"/>
    </row>
    <row r="963">
      <c r="B963" s="200"/>
      <c r="K963" s="200"/>
    </row>
    <row r="964">
      <c r="B964" s="200"/>
      <c r="K964" s="200"/>
    </row>
    <row r="965">
      <c r="B965" s="200"/>
      <c r="K965" s="200"/>
    </row>
    <row r="966">
      <c r="B966" s="200"/>
      <c r="K966" s="200"/>
    </row>
    <row r="967">
      <c r="B967" s="200"/>
      <c r="K967" s="200"/>
    </row>
    <row r="968">
      <c r="B968" s="200"/>
      <c r="K968" s="200"/>
    </row>
    <row r="969">
      <c r="B969" s="200"/>
      <c r="K969" s="200"/>
    </row>
    <row r="970">
      <c r="B970" s="200"/>
      <c r="K970" s="200"/>
    </row>
    <row r="971">
      <c r="B971" s="200"/>
      <c r="K971" s="200"/>
    </row>
    <row r="972">
      <c r="B972" s="200"/>
      <c r="K972" s="200"/>
    </row>
    <row r="973">
      <c r="B973" s="200"/>
      <c r="K973" s="200"/>
    </row>
    <row r="974">
      <c r="B974" s="200"/>
      <c r="K974" s="200"/>
    </row>
    <row r="975">
      <c r="B975" s="200"/>
      <c r="K975" s="200"/>
    </row>
    <row r="976">
      <c r="B976" s="200"/>
      <c r="K976" s="200"/>
    </row>
    <row r="977">
      <c r="B977" s="200"/>
      <c r="K977" s="200"/>
    </row>
    <row r="978">
      <c r="B978" s="200"/>
      <c r="K978" s="200"/>
    </row>
    <row r="979">
      <c r="B979" s="200"/>
      <c r="K979" s="200"/>
    </row>
    <row r="980">
      <c r="B980" s="200"/>
      <c r="K980" s="200"/>
    </row>
    <row r="981">
      <c r="B981" s="200"/>
      <c r="K981" s="200"/>
    </row>
    <row r="982">
      <c r="B982" s="200"/>
      <c r="K982" s="200"/>
    </row>
    <row r="983">
      <c r="B983" s="200"/>
      <c r="K983" s="200"/>
    </row>
    <row r="984">
      <c r="B984" s="200"/>
      <c r="K984" s="200"/>
    </row>
    <row r="985">
      <c r="B985" s="200"/>
      <c r="K985" s="200"/>
    </row>
    <row r="986">
      <c r="B986" s="200"/>
      <c r="K986" s="200"/>
    </row>
    <row r="987">
      <c r="B987" s="200"/>
      <c r="K987" s="200"/>
    </row>
    <row r="988">
      <c r="B988" s="200"/>
      <c r="K988" s="200"/>
    </row>
    <row r="989">
      <c r="B989" s="200"/>
      <c r="K989" s="200"/>
    </row>
    <row r="990">
      <c r="B990" s="200"/>
      <c r="K990" s="200"/>
    </row>
    <row r="991">
      <c r="B991" s="200"/>
      <c r="K991" s="200"/>
    </row>
    <row r="992">
      <c r="B992" s="200"/>
      <c r="K992" s="200"/>
    </row>
    <row r="993">
      <c r="B993" s="200"/>
      <c r="K993" s="200"/>
    </row>
    <row r="994">
      <c r="B994" s="200"/>
      <c r="K994" s="200"/>
    </row>
    <row r="995">
      <c r="B995" s="200"/>
      <c r="K995" s="200"/>
    </row>
    <row r="996">
      <c r="B996" s="200"/>
      <c r="K996" s="200"/>
    </row>
    <row r="997">
      <c r="B997" s="200"/>
      <c r="K997" s="200"/>
    </row>
    <row r="998">
      <c r="B998" s="200"/>
      <c r="K998" s="200"/>
    </row>
    <row r="999">
      <c r="B999" s="200"/>
      <c r="K999" s="200"/>
    </row>
    <row r="1000">
      <c r="B1000" s="200"/>
      <c r="K1000" s="200"/>
    </row>
    <row r="1001">
      <c r="B1001" s="200"/>
      <c r="K1001" s="200"/>
    </row>
    <row r="1002">
      <c r="B1002" s="200"/>
      <c r="K1002" s="200"/>
    </row>
    <row r="1003">
      <c r="B1003" s="200"/>
      <c r="K1003" s="200"/>
    </row>
    <row r="1004">
      <c r="B1004" s="200"/>
      <c r="K1004" s="200"/>
    </row>
    <row r="1005">
      <c r="B1005" s="200"/>
      <c r="K1005" s="200"/>
    </row>
    <row r="1006">
      <c r="B1006" s="200"/>
      <c r="K1006" s="200"/>
    </row>
    <row r="1007">
      <c r="B1007" s="200"/>
      <c r="K1007" s="200"/>
    </row>
    <row r="1008">
      <c r="B1008" s="200"/>
      <c r="K1008" s="200"/>
    </row>
    <row r="1009">
      <c r="B1009" s="200"/>
      <c r="K1009" s="200"/>
    </row>
    <row r="1010">
      <c r="B1010" s="200"/>
      <c r="K1010" s="200"/>
    </row>
    <row r="1011">
      <c r="B1011" s="200"/>
      <c r="K1011" s="200"/>
    </row>
    <row r="1012">
      <c r="B1012" s="200"/>
      <c r="K1012" s="200"/>
    </row>
    <row r="1013">
      <c r="B1013" s="200"/>
      <c r="K1013" s="200"/>
    </row>
    <row r="1014">
      <c r="B1014" s="200"/>
      <c r="K1014" s="200"/>
    </row>
    <row r="1015">
      <c r="B1015" s="200"/>
      <c r="K1015" s="200"/>
    </row>
    <row r="1016">
      <c r="B1016" s="200"/>
      <c r="K1016" s="200"/>
    </row>
    <row r="1017">
      <c r="B1017" s="200"/>
      <c r="K1017" s="200"/>
    </row>
    <row r="1018">
      <c r="B1018" s="200"/>
      <c r="K1018" s="200"/>
    </row>
    <row r="1019">
      <c r="B1019" s="200"/>
      <c r="K1019" s="200"/>
    </row>
    <row r="1020">
      <c r="B1020" s="200"/>
      <c r="K1020" s="200"/>
    </row>
    <row r="1021">
      <c r="B1021" s="200"/>
      <c r="K1021" s="200"/>
    </row>
    <row r="1022">
      <c r="B1022" s="200"/>
      <c r="K1022" s="200"/>
    </row>
    <row r="1023">
      <c r="B1023" s="200"/>
      <c r="K1023" s="200"/>
    </row>
    <row r="1024">
      <c r="B1024" s="200"/>
      <c r="K1024" s="200"/>
    </row>
    <row r="1025">
      <c r="B1025" s="200"/>
      <c r="K1025" s="200"/>
    </row>
    <row r="1026">
      <c r="B1026" s="200"/>
      <c r="K1026" s="200"/>
    </row>
    <row r="1027">
      <c r="B1027" s="200"/>
      <c r="K1027" s="200"/>
    </row>
    <row r="1028">
      <c r="B1028" s="200"/>
      <c r="K1028" s="200"/>
    </row>
    <row r="1029">
      <c r="B1029" s="200"/>
      <c r="K1029" s="200"/>
    </row>
    <row r="1030">
      <c r="B1030" s="200"/>
      <c r="K1030" s="200"/>
    </row>
    <row r="1031">
      <c r="B1031" s="200"/>
      <c r="K1031" s="200"/>
    </row>
    <row r="1032">
      <c r="B1032" s="200"/>
      <c r="K1032" s="200"/>
    </row>
    <row r="1033">
      <c r="B1033" s="200"/>
      <c r="K1033" s="200"/>
    </row>
    <row r="1034">
      <c r="B1034" s="200"/>
      <c r="K1034" s="200"/>
    </row>
  </sheetData>
  <hyperlinks>
    <hyperlink r:id="rId1" ref="G3"/>
    <hyperlink r:id="rId2" ref="H3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</hyperlinks>
  <drawing r:id="rId19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13"/>
    <col customWidth="1" min="7" max="7" width="18.88"/>
    <col customWidth="1" min="8" max="8" width="23.0"/>
    <col customWidth="1" min="9" max="9" width="22.75"/>
    <col customWidth="1" min="11" max="11" width="34.88"/>
  </cols>
  <sheetData>
    <row r="1">
      <c r="A1" s="7" t="s">
        <v>336</v>
      </c>
      <c r="B1" s="189"/>
      <c r="C1" s="7"/>
      <c r="D1" s="7"/>
      <c r="E1" s="7"/>
      <c r="F1" s="7"/>
      <c r="G1" s="7"/>
      <c r="H1" s="7"/>
      <c r="I1" s="7"/>
      <c r="J1" s="7"/>
    </row>
    <row r="2">
      <c r="A2" s="162" t="s">
        <v>438</v>
      </c>
      <c r="B2" s="189"/>
      <c r="C2" s="7"/>
      <c r="D2" s="7"/>
      <c r="E2" s="7"/>
      <c r="F2" s="7"/>
      <c r="G2" s="7"/>
      <c r="H2" s="7"/>
      <c r="I2" s="7"/>
      <c r="J2" s="7"/>
    </row>
    <row r="3">
      <c r="A3" s="162" t="s">
        <v>439</v>
      </c>
      <c r="B3" s="189"/>
      <c r="C3" s="7"/>
      <c r="D3" s="7"/>
      <c r="E3" s="7"/>
      <c r="F3" s="7"/>
      <c r="G3" s="7"/>
      <c r="H3" s="7"/>
      <c r="I3" s="7"/>
      <c r="J3" s="7"/>
    </row>
    <row r="4">
      <c r="A4" s="7"/>
      <c r="B4" s="189"/>
      <c r="C4" s="201" t="s">
        <v>17</v>
      </c>
      <c r="D4" s="202">
        <v>46081.0</v>
      </c>
      <c r="E4" s="101" t="s">
        <v>339</v>
      </c>
      <c r="F4" s="102">
        <v>46081.0</v>
      </c>
      <c r="G4" s="203" t="s">
        <v>340</v>
      </c>
      <c r="H4" s="203" t="s">
        <v>401</v>
      </c>
      <c r="I4" s="7"/>
      <c r="J4" s="7"/>
    </row>
    <row r="5">
      <c r="A5" s="165" t="s">
        <v>342</v>
      </c>
      <c r="B5" s="166" t="s">
        <v>316</v>
      </c>
      <c r="C5" s="167" t="s">
        <v>343</v>
      </c>
      <c r="D5" s="167" t="s">
        <v>57</v>
      </c>
      <c r="E5" s="167" t="s">
        <v>344</v>
      </c>
      <c r="F5" s="167" t="s">
        <v>345</v>
      </c>
      <c r="G5" s="167" t="s">
        <v>346</v>
      </c>
      <c r="H5" s="167" t="s">
        <v>19</v>
      </c>
      <c r="I5" s="167" t="s">
        <v>347</v>
      </c>
      <c r="J5" s="167" t="s">
        <v>348</v>
      </c>
      <c r="K5" s="33" t="s">
        <v>349</v>
      </c>
      <c r="L5" s="34" t="s">
        <v>402</v>
      </c>
      <c r="M5" s="34" t="s">
        <v>350</v>
      </c>
    </row>
    <row r="6">
      <c r="A6" s="168">
        <v>1.0</v>
      </c>
      <c r="B6" s="204" t="s">
        <v>440</v>
      </c>
      <c r="C6" s="70">
        <v>1823.0</v>
      </c>
      <c r="D6" s="70">
        <v>893.0</v>
      </c>
      <c r="E6" s="70">
        <v>935.0</v>
      </c>
      <c r="F6" s="70">
        <v>564.0</v>
      </c>
      <c r="G6" s="205">
        <f t="shared" ref="G6:G21" si="1">F6/D6</f>
        <v>0.6315789474</v>
      </c>
      <c r="H6" s="72">
        <v>0.012280092592592592</v>
      </c>
      <c r="I6" s="72">
        <v>0.005</v>
      </c>
      <c r="J6" s="206">
        <f t="shared" ref="J6:J21" si="2">I6/H6</f>
        <v>0.4071630537</v>
      </c>
      <c r="K6" s="207" t="s">
        <v>319</v>
      </c>
      <c r="L6" s="208">
        <v>350.0</v>
      </c>
      <c r="M6" s="161"/>
    </row>
    <row r="7">
      <c r="A7" s="170">
        <v>2.0</v>
      </c>
      <c r="B7" s="204" t="s">
        <v>441</v>
      </c>
      <c r="C7" s="58">
        <v>1197.0</v>
      </c>
      <c r="D7" s="58">
        <v>599.0</v>
      </c>
      <c r="E7" s="58">
        <v>578.0</v>
      </c>
      <c r="F7" s="58">
        <v>370.0</v>
      </c>
      <c r="G7" s="205">
        <f t="shared" si="1"/>
        <v>0.6176961603</v>
      </c>
      <c r="H7" s="72">
        <v>0.013969907407407407</v>
      </c>
      <c r="I7" s="72">
        <v>0.010416666666666666</v>
      </c>
      <c r="J7" s="209">
        <f t="shared" si="2"/>
        <v>0.7456503728</v>
      </c>
      <c r="K7" s="207" t="s">
        <v>321</v>
      </c>
      <c r="L7" s="41">
        <v>350.0</v>
      </c>
      <c r="M7" s="38"/>
    </row>
    <row r="8">
      <c r="A8" s="171">
        <v>3.0</v>
      </c>
      <c r="B8" s="210" t="s">
        <v>442</v>
      </c>
      <c r="C8" s="80">
        <v>805.0</v>
      </c>
      <c r="D8" s="81">
        <v>452.0</v>
      </c>
      <c r="E8" s="80">
        <v>451.0</v>
      </c>
      <c r="F8" s="80">
        <v>299.0</v>
      </c>
      <c r="G8" s="211">
        <f t="shared" si="1"/>
        <v>0.6615044248</v>
      </c>
      <c r="H8" s="83">
        <v>0.01258101851851852</v>
      </c>
      <c r="I8" s="83">
        <v>0.007326388888888889</v>
      </c>
      <c r="J8" s="212">
        <f t="shared" si="2"/>
        <v>0.5823367065</v>
      </c>
      <c r="K8" s="213" t="s">
        <v>323</v>
      </c>
      <c r="L8" s="214">
        <v>600.0</v>
      </c>
      <c r="M8" s="214" t="s">
        <v>324</v>
      </c>
    </row>
    <row r="9">
      <c r="A9" s="174">
        <v>4.0</v>
      </c>
      <c r="B9" s="215" t="s">
        <v>325</v>
      </c>
      <c r="C9" s="88">
        <v>285.0</v>
      </c>
      <c r="D9" s="88">
        <v>175.0</v>
      </c>
      <c r="E9" s="88">
        <v>165.0</v>
      </c>
      <c r="F9" s="88">
        <v>111.0</v>
      </c>
      <c r="G9" s="216">
        <f t="shared" si="1"/>
        <v>0.6342857143</v>
      </c>
      <c r="H9" s="90">
        <v>0.013125</v>
      </c>
      <c r="I9" s="90">
        <v>0.010092592592592592</v>
      </c>
      <c r="J9" s="217">
        <f t="shared" si="2"/>
        <v>0.7689594356</v>
      </c>
      <c r="K9" s="218" t="s">
        <v>326</v>
      </c>
      <c r="L9" s="175"/>
      <c r="M9" s="175"/>
    </row>
    <row r="10">
      <c r="A10" s="168">
        <v>5.0</v>
      </c>
      <c r="B10" s="204" t="s">
        <v>443</v>
      </c>
      <c r="C10" s="70">
        <v>572.0</v>
      </c>
      <c r="D10" s="70">
        <v>363.0</v>
      </c>
      <c r="E10" s="70">
        <v>285.0</v>
      </c>
      <c r="F10" s="70">
        <v>211.0</v>
      </c>
      <c r="G10" s="205">
        <f t="shared" si="1"/>
        <v>0.5812672176</v>
      </c>
      <c r="H10" s="72">
        <v>0.01238425925925926</v>
      </c>
      <c r="I10" s="72">
        <v>0.008611111111111111</v>
      </c>
      <c r="J10" s="206">
        <f t="shared" si="2"/>
        <v>0.6953271028</v>
      </c>
      <c r="K10" s="207" t="s">
        <v>319</v>
      </c>
      <c r="L10" s="208">
        <v>350.0</v>
      </c>
      <c r="M10" s="161"/>
    </row>
    <row r="11">
      <c r="A11" s="168">
        <v>6.0</v>
      </c>
      <c r="B11" s="204" t="s">
        <v>444</v>
      </c>
      <c r="C11" s="70">
        <v>707.0</v>
      </c>
      <c r="D11" s="70">
        <v>383.0</v>
      </c>
      <c r="E11" s="70">
        <v>353.0</v>
      </c>
      <c r="F11" s="70">
        <v>238.0</v>
      </c>
      <c r="G11" s="205">
        <f t="shared" si="1"/>
        <v>0.6214099217</v>
      </c>
      <c r="H11" s="72">
        <v>0.01579861111111111</v>
      </c>
      <c r="I11" s="72">
        <v>0.013865740740740741</v>
      </c>
      <c r="J11" s="209">
        <f t="shared" si="2"/>
        <v>0.8776556777</v>
      </c>
      <c r="K11" s="207" t="s">
        <v>321</v>
      </c>
      <c r="L11" s="208">
        <v>350.0</v>
      </c>
      <c r="M11" s="161"/>
    </row>
    <row r="12">
      <c r="A12" s="171">
        <v>7.0</v>
      </c>
      <c r="B12" s="210" t="s">
        <v>445</v>
      </c>
      <c r="C12" s="80">
        <v>1904.0</v>
      </c>
      <c r="D12" s="81">
        <v>904.0</v>
      </c>
      <c r="E12" s="80">
        <v>927.0</v>
      </c>
      <c r="F12" s="80">
        <v>611.0</v>
      </c>
      <c r="G12" s="211">
        <f t="shared" si="1"/>
        <v>0.6758849558</v>
      </c>
      <c r="H12" s="83">
        <v>0.013252314814814814</v>
      </c>
      <c r="I12" s="83">
        <v>0.006944444444444444</v>
      </c>
      <c r="J12" s="212">
        <f t="shared" si="2"/>
        <v>0.5240174672</v>
      </c>
      <c r="K12" s="213" t="s">
        <v>323</v>
      </c>
      <c r="L12" s="214">
        <v>600.0</v>
      </c>
      <c r="M12" s="214" t="s">
        <v>324</v>
      </c>
    </row>
    <row r="13">
      <c r="A13" s="174">
        <v>8.0</v>
      </c>
      <c r="B13" s="215" t="s">
        <v>325</v>
      </c>
      <c r="C13" s="88">
        <v>381.0</v>
      </c>
      <c r="D13" s="88">
        <v>267.0</v>
      </c>
      <c r="E13" s="88">
        <v>229.0</v>
      </c>
      <c r="F13" s="88">
        <v>183.0</v>
      </c>
      <c r="G13" s="216">
        <f t="shared" si="1"/>
        <v>0.6853932584</v>
      </c>
      <c r="H13" s="90">
        <v>0.014583333333333334</v>
      </c>
      <c r="I13" s="90">
        <v>0.008969907407407407</v>
      </c>
      <c r="J13" s="217">
        <f t="shared" si="2"/>
        <v>0.6150793651</v>
      </c>
      <c r="K13" s="218" t="s">
        <v>326</v>
      </c>
      <c r="L13" s="175"/>
      <c r="M13" s="175"/>
    </row>
    <row r="14">
      <c r="A14" s="168">
        <v>9.0</v>
      </c>
      <c r="B14" s="204" t="s">
        <v>446</v>
      </c>
      <c r="C14" s="70">
        <v>572.0</v>
      </c>
      <c r="D14" s="70">
        <v>299.0</v>
      </c>
      <c r="E14" s="70">
        <v>279.0</v>
      </c>
      <c r="F14" s="70">
        <v>176.0</v>
      </c>
      <c r="G14" s="205">
        <f t="shared" si="1"/>
        <v>0.5886287625</v>
      </c>
      <c r="H14" s="72">
        <v>0.016527777777777777</v>
      </c>
      <c r="I14" s="72">
        <v>0.011724537037037037</v>
      </c>
      <c r="J14" s="206">
        <f t="shared" si="2"/>
        <v>0.7093837535</v>
      </c>
      <c r="K14" s="207" t="s">
        <v>319</v>
      </c>
      <c r="L14" s="208">
        <v>350.0</v>
      </c>
      <c r="M14" s="161"/>
    </row>
    <row r="15">
      <c r="A15" s="168">
        <v>10.0</v>
      </c>
      <c r="B15" s="204" t="s">
        <v>447</v>
      </c>
      <c r="C15" s="70">
        <v>571.0</v>
      </c>
      <c r="D15" s="70">
        <v>313.0</v>
      </c>
      <c r="E15" s="70">
        <v>285.0</v>
      </c>
      <c r="F15" s="70">
        <v>203.0</v>
      </c>
      <c r="G15" s="205">
        <f t="shared" si="1"/>
        <v>0.6485623003</v>
      </c>
      <c r="H15" s="72">
        <v>0.01929398148148148</v>
      </c>
      <c r="I15" s="72">
        <v>0.012407407407407407</v>
      </c>
      <c r="J15" s="209">
        <f t="shared" si="2"/>
        <v>0.6430713857</v>
      </c>
      <c r="K15" s="207" t="s">
        <v>321</v>
      </c>
      <c r="L15" s="208">
        <v>350.0</v>
      </c>
      <c r="M15" s="161"/>
    </row>
    <row r="16">
      <c r="A16" s="170">
        <v>11.0</v>
      </c>
      <c r="B16" s="204" t="s">
        <v>448</v>
      </c>
      <c r="C16" s="58">
        <v>634.0</v>
      </c>
      <c r="D16" s="219">
        <v>355.0</v>
      </c>
      <c r="E16" s="58">
        <v>358.0</v>
      </c>
      <c r="F16" s="58">
        <v>255.0</v>
      </c>
      <c r="G16" s="205">
        <f t="shared" si="1"/>
        <v>0.7183098592</v>
      </c>
      <c r="H16" s="72">
        <v>0.014351851851851852</v>
      </c>
      <c r="I16" s="72">
        <v>0.008726851851851852</v>
      </c>
      <c r="J16" s="206">
        <f t="shared" si="2"/>
        <v>0.6080645161</v>
      </c>
      <c r="K16" s="207" t="s">
        <v>321</v>
      </c>
      <c r="L16" s="208">
        <v>350.0</v>
      </c>
      <c r="M16" s="41"/>
    </row>
    <row r="17">
      <c r="A17" s="174">
        <v>12.0</v>
      </c>
      <c r="B17" s="215" t="s">
        <v>325</v>
      </c>
      <c r="C17" s="88">
        <v>214.0</v>
      </c>
      <c r="D17" s="88">
        <v>138.0</v>
      </c>
      <c r="E17" s="88">
        <v>131.0</v>
      </c>
      <c r="F17" s="88">
        <v>103.0</v>
      </c>
      <c r="G17" s="216">
        <f t="shared" si="1"/>
        <v>0.7463768116</v>
      </c>
      <c r="H17" s="90">
        <v>0.013715277777777778</v>
      </c>
      <c r="I17" s="90">
        <v>0.005798611111111111</v>
      </c>
      <c r="J17" s="217">
        <f t="shared" si="2"/>
        <v>0.4227848101</v>
      </c>
      <c r="K17" s="218" t="s">
        <v>326</v>
      </c>
      <c r="L17" s="175"/>
      <c r="M17" s="175"/>
    </row>
    <row r="18">
      <c r="A18" s="168">
        <v>13.0</v>
      </c>
      <c r="B18" s="204" t="s">
        <v>449</v>
      </c>
      <c r="C18" s="70">
        <v>562.0</v>
      </c>
      <c r="D18" s="70">
        <v>307.0</v>
      </c>
      <c r="E18" s="70">
        <v>292.0</v>
      </c>
      <c r="F18" s="70">
        <v>194.0</v>
      </c>
      <c r="G18" s="205">
        <f t="shared" si="1"/>
        <v>0.6319218241</v>
      </c>
      <c r="H18" s="72">
        <v>0.013206018518518518</v>
      </c>
      <c r="I18" s="72">
        <v>0.008819444444444444</v>
      </c>
      <c r="J18" s="206">
        <f t="shared" si="2"/>
        <v>0.6678352323</v>
      </c>
      <c r="K18" s="207" t="s">
        <v>319</v>
      </c>
      <c r="L18" s="208">
        <v>350.0</v>
      </c>
      <c r="M18" s="161"/>
    </row>
    <row r="19">
      <c r="A19" s="168">
        <v>14.0</v>
      </c>
      <c r="B19" s="204" t="s">
        <v>450</v>
      </c>
      <c r="C19" s="70">
        <v>485.0</v>
      </c>
      <c r="D19" s="70">
        <v>268.0</v>
      </c>
      <c r="E19" s="70">
        <v>275.0</v>
      </c>
      <c r="F19" s="70">
        <v>192.0</v>
      </c>
      <c r="G19" s="205">
        <f t="shared" si="1"/>
        <v>0.7164179104</v>
      </c>
      <c r="H19" s="72">
        <v>0.013321759259259259</v>
      </c>
      <c r="I19" s="72">
        <v>0.007534722222222222</v>
      </c>
      <c r="J19" s="209">
        <f t="shared" si="2"/>
        <v>0.5655951347</v>
      </c>
      <c r="K19" s="207" t="s">
        <v>321</v>
      </c>
      <c r="L19" s="208">
        <v>350.0</v>
      </c>
      <c r="M19" s="161"/>
    </row>
    <row r="20">
      <c r="A20" s="170">
        <v>15.0</v>
      </c>
      <c r="B20" s="204" t="s">
        <v>451</v>
      </c>
      <c r="C20" s="58">
        <v>501.0</v>
      </c>
      <c r="D20" s="219">
        <v>289.0</v>
      </c>
      <c r="E20" s="58">
        <v>279.0</v>
      </c>
      <c r="F20" s="58">
        <v>200.0</v>
      </c>
      <c r="G20" s="205">
        <f t="shared" si="1"/>
        <v>0.6920415225</v>
      </c>
      <c r="H20" s="72">
        <v>0.012372685185185184</v>
      </c>
      <c r="I20" s="72">
        <v>0.00738425925925926</v>
      </c>
      <c r="J20" s="206">
        <f t="shared" si="2"/>
        <v>0.5968194574</v>
      </c>
      <c r="K20" s="207" t="s">
        <v>321</v>
      </c>
      <c r="L20" s="208">
        <v>350.0</v>
      </c>
      <c r="M20" s="41"/>
    </row>
    <row r="21">
      <c r="A21" s="174">
        <v>16.0</v>
      </c>
      <c r="B21" s="215" t="s">
        <v>325</v>
      </c>
      <c r="C21" s="88">
        <v>149.0</v>
      </c>
      <c r="D21" s="88">
        <v>102.0</v>
      </c>
      <c r="E21" s="88">
        <v>93.0</v>
      </c>
      <c r="F21" s="88">
        <v>77.0</v>
      </c>
      <c r="G21" s="216">
        <f t="shared" si="1"/>
        <v>0.7549019608</v>
      </c>
      <c r="H21" s="90">
        <v>0.012256944444444445</v>
      </c>
      <c r="I21" s="90">
        <v>0.009918981481481482</v>
      </c>
      <c r="J21" s="217">
        <f t="shared" si="2"/>
        <v>0.8092540132</v>
      </c>
      <c r="K21" s="220" t="s">
        <v>326</v>
      </c>
      <c r="L21" s="175"/>
      <c r="M21" s="175"/>
    </row>
    <row r="22">
      <c r="A22" s="178"/>
      <c r="B22" s="179"/>
      <c r="C22" s="180">
        <v>11510.0</v>
      </c>
      <c r="D22" s="180">
        <v>2361.0</v>
      </c>
      <c r="E22" s="221"/>
      <c r="F22" s="221"/>
      <c r="G22" s="178"/>
      <c r="H22" s="178"/>
      <c r="I22" s="178"/>
      <c r="J22" s="178"/>
      <c r="K22" s="222" t="s">
        <v>364</v>
      </c>
      <c r="L22" s="223">
        <v>300.0</v>
      </c>
      <c r="M22" s="224">
        <v>1500.0</v>
      </c>
    </row>
    <row r="23">
      <c r="A23" s="75"/>
      <c r="B23" s="73"/>
      <c r="C23" s="75"/>
      <c r="D23" s="75"/>
      <c r="E23" s="75"/>
      <c r="F23" s="75"/>
      <c r="G23" s="75"/>
      <c r="H23" s="75"/>
      <c r="I23" s="75"/>
      <c r="J23" s="75"/>
      <c r="K23" s="35" t="s">
        <v>403</v>
      </c>
      <c r="L23" s="208">
        <f>SUM(L6:L22)</f>
        <v>5000</v>
      </c>
      <c r="M23" s="161"/>
    </row>
    <row r="24">
      <c r="A24" s="7"/>
      <c r="B24" s="189"/>
      <c r="C24" s="7"/>
      <c r="D24" s="7"/>
      <c r="E24" s="7"/>
      <c r="F24" s="7"/>
      <c r="G24" s="7"/>
      <c r="H24" s="7"/>
      <c r="I24" s="7"/>
      <c r="J24" s="7"/>
    </row>
    <row r="25">
      <c r="A25" s="225" t="s">
        <v>365</v>
      </c>
      <c r="B25" s="226" t="s">
        <v>366</v>
      </c>
      <c r="C25" s="225" t="s">
        <v>367</v>
      </c>
      <c r="D25" s="225" t="s">
        <v>11</v>
      </c>
      <c r="E25" s="225" t="s">
        <v>19</v>
      </c>
      <c r="F25" s="225" t="s">
        <v>368</v>
      </c>
      <c r="G25" s="227" t="s">
        <v>369</v>
      </c>
      <c r="H25" s="228">
        <v>2728.0</v>
      </c>
      <c r="I25" s="229">
        <v>46081.0</v>
      </c>
      <c r="J25" s="7"/>
    </row>
    <row r="26">
      <c r="A26" s="230">
        <v>2025.0</v>
      </c>
      <c r="B26" s="231">
        <v>1899.0</v>
      </c>
      <c r="C26" s="232">
        <v>558.0</v>
      </c>
      <c r="D26" s="233">
        <v>0.294</v>
      </c>
      <c r="E26" s="232">
        <v>375.0</v>
      </c>
      <c r="F26" s="234">
        <v>150.2</v>
      </c>
      <c r="G26" s="235"/>
      <c r="H26" s="235"/>
      <c r="I26" s="235"/>
      <c r="J26" s="7"/>
    </row>
    <row r="27">
      <c r="A27" s="236">
        <v>2024.0</v>
      </c>
      <c r="B27" s="237">
        <v>3750.0</v>
      </c>
      <c r="C27" s="238">
        <v>726.0</v>
      </c>
      <c r="D27" s="239">
        <v>0.194</v>
      </c>
      <c r="E27" s="238">
        <v>373.0</v>
      </c>
      <c r="F27" s="240">
        <v>167.9</v>
      </c>
      <c r="G27" s="235"/>
      <c r="H27" s="235"/>
      <c r="I27" s="235"/>
      <c r="J27" s="7"/>
    </row>
    <row r="28">
      <c r="A28" s="7"/>
      <c r="B28" s="189"/>
      <c r="C28" s="7"/>
      <c r="D28" s="7"/>
      <c r="E28" s="7"/>
      <c r="F28" s="7"/>
      <c r="G28" s="7"/>
      <c r="H28" s="7"/>
      <c r="I28" s="7"/>
      <c r="J28" s="7"/>
    </row>
    <row r="29">
      <c r="A29" s="7"/>
      <c r="B29" s="189"/>
      <c r="C29" s="7"/>
      <c r="D29" s="7"/>
      <c r="E29" s="7"/>
      <c r="F29" s="7"/>
      <c r="G29" s="7"/>
      <c r="H29" s="7"/>
      <c r="I29" s="7"/>
      <c r="J29" s="7"/>
    </row>
    <row r="30">
      <c r="A30" s="7"/>
      <c r="B30" s="189"/>
      <c r="C30" s="7"/>
      <c r="D30" s="7"/>
      <c r="E30" s="7"/>
      <c r="F30" s="7"/>
      <c r="G30" s="7"/>
      <c r="H30" s="7"/>
      <c r="I30" s="7"/>
      <c r="J30" s="7"/>
    </row>
    <row r="31">
      <c r="A31" s="7"/>
      <c r="B31" s="189"/>
      <c r="C31" s="7"/>
      <c r="D31" s="7"/>
      <c r="E31" s="7"/>
      <c r="F31" s="7"/>
      <c r="G31" s="7"/>
      <c r="H31" s="7"/>
      <c r="I31" s="7"/>
      <c r="J31" s="7"/>
    </row>
    <row r="32">
      <c r="A32" s="7"/>
      <c r="B32" s="189"/>
      <c r="C32" s="7"/>
      <c r="D32" s="7"/>
      <c r="E32" s="7"/>
      <c r="F32" s="7"/>
      <c r="G32" s="7"/>
      <c r="H32" s="7"/>
      <c r="I32" s="7"/>
      <c r="J32" s="7"/>
    </row>
    <row r="33">
      <c r="A33" s="7"/>
      <c r="B33" s="189"/>
      <c r="C33" s="7"/>
      <c r="D33" s="7"/>
      <c r="E33" s="7"/>
      <c r="F33" s="7"/>
      <c r="G33" s="7"/>
      <c r="H33" s="7"/>
      <c r="I33" s="7"/>
      <c r="J33" s="7"/>
    </row>
    <row r="34">
      <c r="A34" s="7"/>
      <c r="B34" s="189"/>
      <c r="C34" s="7"/>
      <c r="D34" s="7"/>
      <c r="E34" s="7"/>
      <c r="F34" s="7"/>
      <c r="G34" s="7"/>
      <c r="H34" s="7"/>
      <c r="I34" s="7"/>
      <c r="J34" s="7"/>
    </row>
    <row r="35">
      <c r="A35" s="7"/>
      <c r="B35" s="189"/>
      <c r="C35" s="7"/>
      <c r="D35" s="7"/>
      <c r="E35" s="7"/>
      <c r="F35" s="7"/>
      <c r="G35" s="7"/>
      <c r="H35" s="7"/>
      <c r="I35" s="7"/>
      <c r="J35" s="7"/>
    </row>
    <row r="36">
      <c r="A36" s="7"/>
      <c r="B36" s="189"/>
      <c r="C36" s="7"/>
      <c r="D36" s="7"/>
      <c r="E36" s="7"/>
      <c r="F36" s="7"/>
      <c r="G36" s="7"/>
      <c r="H36" s="7"/>
      <c r="I36" s="7"/>
      <c r="J36" s="7"/>
    </row>
    <row r="37">
      <c r="A37" s="7"/>
      <c r="B37" s="189"/>
      <c r="C37" s="7"/>
      <c r="D37" s="7"/>
      <c r="E37" s="7"/>
      <c r="F37" s="7"/>
      <c r="G37" s="7"/>
      <c r="H37" s="7"/>
      <c r="I37" s="7"/>
      <c r="J37" s="7"/>
    </row>
    <row r="38">
      <c r="A38" s="162" t="s">
        <v>452</v>
      </c>
      <c r="B38" s="189"/>
      <c r="C38" s="7"/>
      <c r="D38" s="7"/>
      <c r="E38" s="7"/>
      <c r="F38" s="7"/>
      <c r="G38" s="7"/>
      <c r="H38" s="7"/>
      <c r="I38" s="7"/>
      <c r="J38" s="7"/>
    </row>
    <row r="39">
      <c r="A39" s="162" t="s">
        <v>453</v>
      </c>
      <c r="B39" s="189"/>
      <c r="C39" s="7"/>
      <c r="D39" s="7"/>
      <c r="E39" s="7"/>
      <c r="F39" s="7"/>
      <c r="G39" s="7"/>
      <c r="H39" s="7"/>
      <c r="I39" s="7"/>
      <c r="J39" s="7"/>
    </row>
    <row r="40">
      <c r="A40" s="7"/>
      <c r="B40" s="189"/>
      <c r="C40" s="7"/>
      <c r="D40" s="7"/>
      <c r="E40" s="7"/>
      <c r="F40" s="7"/>
      <c r="G40" s="7"/>
      <c r="H40" s="7"/>
      <c r="I40" s="7"/>
      <c r="J40" s="7"/>
    </row>
    <row r="41">
      <c r="A41" s="7"/>
      <c r="B41" s="189"/>
      <c r="C41" s="7"/>
      <c r="D41" s="7"/>
      <c r="E41" s="7"/>
      <c r="F41" s="7"/>
      <c r="G41" s="7"/>
      <c r="H41" s="7"/>
      <c r="I41" s="7"/>
      <c r="J41" s="7"/>
    </row>
    <row r="42">
      <c r="A42" s="165" t="s">
        <v>342</v>
      </c>
      <c r="B42" s="166" t="s">
        <v>316</v>
      </c>
      <c r="C42" s="167" t="s">
        <v>343</v>
      </c>
      <c r="D42" s="167" t="s">
        <v>57</v>
      </c>
      <c r="E42" s="167" t="s">
        <v>344</v>
      </c>
      <c r="F42" s="167" t="s">
        <v>345</v>
      </c>
      <c r="G42" s="167" t="s">
        <v>346</v>
      </c>
      <c r="H42" s="167" t="s">
        <v>19</v>
      </c>
      <c r="I42" s="167" t="s">
        <v>347</v>
      </c>
      <c r="J42" s="167" t="s">
        <v>348</v>
      </c>
      <c r="K42" s="33" t="s">
        <v>349</v>
      </c>
      <c r="L42" s="34"/>
      <c r="M42" s="34"/>
    </row>
    <row r="43">
      <c r="A43" s="168">
        <v>1.0</v>
      </c>
      <c r="B43" s="204" t="s">
        <v>454</v>
      </c>
      <c r="C43" s="70"/>
      <c r="D43" s="70">
        <v>783.0</v>
      </c>
      <c r="E43" s="70"/>
      <c r="F43" s="70">
        <v>265.0</v>
      </c>
      <c r="G43" s="205"/>
      <c r="H43" s="72">
        <v>0.020810185185185185</v>
      </c>
      <c r="I43" s="72">
        <v>0.018472222222222223</v>
      </c>
      <c r="J43" s="206">
        <f t="shared" ref="J43:J58" si="3">I43/H43</f>
        <v>0.8876529477</v>
      </c>
      <c r="K43" s="207" t="s">
        <v>319</v>
      </c>
      <c r="L43" s="208"/>
      <c r="M43" s="161"/>
    </row>
    <row r="44">
      <c r="A44" s="170">
        <v>2.0</v>
      </c>
      <c r="B44" s="204" t="s">
        <v>455</v>
      </c>
      <c r="C44" s="58"/>
      <c r="D44" s="58">
        <v>189.0</v>
      </c>
      <c r="E44" s="58"/>
      <c r="F44" s="58">
        <v>61.0</v>
      </c>
      <c r="G44" s="205"/>
      <c r="H44" s="72">
        <v>0.014953703703703703</v>
      </c>
      <c r="I44" s="72">
        <v>0.015069444444444444</v>
      </c>
      <c r="J44" s="209">
        <f t="shared" si="3"/>
        <v>1.007739938</v>
      </c>
      <c r="K44" s="207" t="s">
        <v>321</v>
      </c>
      <c r="L44" s="41"/>
      <c r="M44" s="38"/>
    </row>
    <row r="45">
      <c r="A45" s="171">
        <v>3.0</v>
      </c>
      <c r="B45" s="210" t="s">
        <v>456</v>
      </c>
      <c r="C45" s="80"/>
      <c r="D45" s="81">
        <v>481.0</v>
      </c>
      <c r="E45" s="80"/>
      <c r="F45" s="80">
        <v>212.0</v>
      </c>
      <c r="G45" s="211"/>
      <c r="H45" s="83">
        <v>0.014699074074074074</v>
      </c>
      <c r="I45" s="83">
        <v>0.013344907407407408</v>
      </c>
      <c r="J45" s="212">
        <f t="shared" si="3"/>
        <v>0.9078740157</v>
      </c>
      <c r="K45" s="213" t="s">
        <v>323</v>
      </c>
      <c r="L45" s="214"/>
      <c r="M45" s="214"/>
    </row>
    <row r="46">
      <c r="A46" s="174">
        <v>4.0</v>
      </c>
      <c r="B46" s="215" t="s">
        <v>414</v>
      </c>
      <c r="C46" s="88"/>
      <c r="D46" s="88">
        <v>144.0</v>
      </c>
      <c r="E46" s="88"/>
      <c r="F46" s="88">
        <v>37.0</v>
      </c>
      <c r="G46" s="216"/>
      <c r="H46" s="90">
        <v>0.010208333333333333</v>
      </c>
      <c r="I46" s="90">
        <v>0.00986111111111111</v>
      </c>
      <c r="J46" s="217">
        <f t="shared" si="3"/>
        <v>0.9659863946</v>
      </c>
      <c r="K46" s="218" t="s">
        <v>326</v>
      </c>
      <c r="L46" s="175"/>
      <c r="M46" s="175"/>
    </row>
    <row r="47">
      <c r="A47" s="168">
        <v>5.0</v>
      </c>
      <c r="B47" s="204" t="s">
        <v>457</v>
      </c>
      <c r="C47" s="70"/>
      <c r="D47" s="70">
        <v>124.0</v>
      </c>
      <c r="E47" s="70"/>
      <c r="F47" s="70">
        <v>37.0</v>
      </c>
      <c r="G47" s="205"/>
      <c r="H47" s="72">
        <v>0.01324074074074074</v>
      </c>
      <c r="I47" s="72">
        <v>0.010138888888888888</v>
      </c>
      <c r="J47" s="206">
        <f t="shared" si="3"/>
        <v>0.7657342657</v>
      </c>
      <c r="K47" s="207" t="s">
        <v>319</v>
      </c>
      <c r="L47" s="208"/>
      <c r="M47" s="161"/>
    </row>
    <row r="48">
      <c r="A48" s="168">
        <v>6.0</v>
      </c>
      <c r="B48" s="204" t="s">
        <v>458</v>
      </c>
      <c r="C48" s="70"/>
      <c r="D48" s="70">
        <v>154.0</v>
      </c>
      <c r="E48" s="70"/>
      <c r="F48" s="70">
        <v>58.0</v>
      </c>
      <c r="G48" s="205"/>
      <c r="H48" s="72">
        <v>0.018831018518518518</v>
      </c>
      <c r="I48" s="72">
        <v>0.017708333333333333</v>
      </c>
      <c r="J48" s="209">
        <f t="shared" si="3"/>
        <v>0.9403810695</v>
      </c>
      <c r="K48" s="207" t="s">
        <v>321</v>
      </c>
      <c r="L48" s="208"/>
      <c r="M48" s="161"/>
    </row>
    <row r="49">
      <c r="A49" s="171">
        <v>7.0</v>
      </c>
      <c r="B49" s="210" t="s">
        <v>459</v>
      </c>
      <c r="C49" s="80"/>
      <c r="D49" s="81">
        <v>142.0</v>
      </c>
      <c r="E49" s="80"/>
      <c r="F49" s="80">
        <v>20.0</v>
      </c>
      <c r="G49" s="211"/>
      <c r="H49" s="83">
        <v>0.013877314814814815</v>
      </c>
      <c r="I49" s="83">
        <v>0.013043981481481481</v>
      </c>
      <c r="J49" s="212">
        <f t="shared" si="3"/>
        <v>0.9399499583</v>
      </c>
      <c r="K49" s="213" t="s">
        <v>323</v>
      </c>
      <c r="L49" s="214"/>
      <c r="M49" s="214"/>
    </row>
    <row r="50">
      <c r="A50" s="174">
        <v>8.0</v>
      </c>
      <c r="B50" s="215" t="s">
        <v>422</v>
      </c>
      <c r="C50" s="88"/>
      <c r="D50" s="88">
        <v>98.0</v>
      </c>
      <c r="E50" s="88"/>
      <c r="F50" s="88">
        <v>20.0</v>
      </c>
      <c r="G50" s="216"/>
      <c r="H50" s="90">
        <v>0.008333333333333333</v>
      </c>
      <c r="I50" s="90">
        <v>0.012673611111111111</v>
      </c>
      <c r="J50" s="217">
        <f t="shared" si="3"/>
        <v>1.520833333</v>
      </c>
      <c r="K50" s="218" t="s">
        <v>326</v>
      </c>
      <c r="L50" s="175"/>
      <c r="M50" s="175"/>
    </row>
    <row r="51">
      <c r="A51" s="168">
        <v>9.0</v>
      </c>
      <c r="B51" s="204" t="s">
        <v>460</v>
      </c>
      <c r="C51" s="70"/>
      <c r="D51" s="70">
        <v>91.0</v>
      </c>
      <c r="E51" s="70"/>
      <c r="F51" s="70">
        <v>32.0</v>
      </c>
      <c r="G51" s="205"/>
      <c r="H51" s="72">
        <v>0.01363425925925926</v>
      </c>
      <c r="I51" s="72">
        <v>0.01392361111111111</v>
      </c>
      <c r="J51" s="206">
        <f t="shared" si="3"/>
        <v>1.021222411</v>
      </c>
      <c r="K51" s="207" t="s">
        <v>319</v>
      </c>
      <c r="L51" s="208"/>
      <c r="M51" s="161"/>
    </row>
    <row r="52">
      <c r="A52" s="168">
        <v>10.0</v>
      </c>
      <c r="B52" s="204" t="s">
        <v>461</v>
      </c>
      <c r="C52" s="70"/>
      <c r="D52" s="70">
        <v>115.0</v>
      </c>
      <c r="E52" s="70"/>
      <c r="F52" s="70">
        <v>37.0</v>
      </c>
      <c r="G52" s="205"/>
      <c r="H52" s="72">
        <v>0.011481481481481481</v>
      </c>
      <c r="I52" s="72">
        <v>0.011423611111111112</v>
      </c>
      <c r="J52" s="209">
        <f t="shared" si="3"/>
        <v>0.9949596774</v>
      </c>
      <c r="K52" s="207" t="s">
        <v>321</v>
      </c>
      <c r="L52" s="208"/>
      <c r="M52" s="161"/>
    </row>
    <row r="53">
      <c r="A53" s="171">
        <v>11.0</v>
      </c>
      <c r="B53" s="210" t="s">
        <v>462</v>
      </c>
      <c r="C53" s="80"/>
      <c r="D53" s="81">
        <v>264.0</v>
      </c>
      <c r="E53" s="80"/>
      <c r="F53" s="80">
        <v>108.0</v>
      </c>
      <c r="G53" s="211"/>
      <c r="H53" s="83">
        <v>0.015023148148148148</v>
      </c>
      <c r="I53" s="83">
        <v>0.012106481481481482</v>
      </c>
      <c r="J53" s="212">
        <f t="shared" si="3"/>
        <v>0.8058551618</v>
      </c>
      <c r="K53" s="213" t="s">
        <v>323</v>
      </c>
      <c r="L53" s="214"/>
      <c r="M53" s="214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  <c r="AA53" s="117"/>
      <c r="AB53" s="117"/>
    </row>
    <row r="54">
      <c r="A54" s="174">
        <v>12.0</v>
      </c>
      <c r="B54" s="215" t="s">
        <v>430</v>
      </c>
      <c r="C54" s="88"/>
      <c r="D54" s="88">
        <v>52.0</v>
      </c>
      <c r="E54" s="88"/>
      <c r="F54" s="88">
        <v>13.0</v>
      </c>
      <c r="G54" s="216"/>
      <c r="H54" s="90">
        <v>0.011469907407407408</v>
      </c>
      <c r="I54" s="90">
        <v>0.012673611111111111</v>
      </c>
      <c r="J54" s="217">
        <f t="shared" si="3"/>
        <v>1.104944501</v>
      </c>
      <c r="K54" s="218" t="s">
        <v>326</v>
      </c>
      <c r="L54" s="175"/>
      <c r="M54" s="175"/>
    </row>
    <row r="55">
      <c r="A55" s="168">
        <v>13.0</v>
      </c>
      <c r="B55" s="204" t="s">
        <v>463</v>
      </c>
      <c r="C55" s="70"/>
      <c r="D55" s="70">
        <v>78.0</v>
      </c>
      <c r="E55" s="70"/>
      <c r="F55" s="70">
        <v>28.0</v>
      </c>
      <c r="G55" s="205"/>
      <c r="H55" s="72">
        <v>0.015219907407407408</v>
      </c>
      <c r="I55" s="72">
        <v>0.017534722222222222</v>
      </c>
      <c r="J55" s="206">
        <f t="shared" si="3"/>
        <v>1.152091255</v>
      </c>
      <c r="K55" s="207" t="s">
        <v>319</v>
      </c>
      <c r="L55" s="208"/>
      <c r="M55" s="161"/>
    </row>
    <row r="56">
      <c r="A56" s="168">
        <v>14.0</v>
      </c>
      <c r="B56" s="204" t="s">
        <v>464</v>
      </c>
      <c r="C56" s="70"/>
      <c r="D56" s="70">
        <v>47.0</v>
      </c>
      <c r="E56" s="70"/>
      <c r="F56" s="70">
        <v>16.0</v>
      </c>
      <c r="G56" s="205"/>
      <c r="H56" s="72">
        <v>0.012569444444444444</v>
      </c>
      <c r="I56" s="72">
        <v>0.009340277777777777</v>
      </c>
      <c r="J56" s="209">
        <f t="shared" si="3"/>
        <v>0.7430939227</v>
      </c>
      <c r="K56" s="207" t="s">
        <v>321</v>
      </c>
      <c r="L56" s="208"/>
      <c r="M56" s="161"/>
    </row>
    <row r="57">
      <c r="A57" s="171">
        <v>15.0</v>
      </c>
      <c r="B57" s="210" t="s">
        <v>465</v>
      </c>
      <c r="C57" s="80"/>
      <c r="D57" s="81">
        <v>430.0</v>
      </c>
      <c r="E57" s="80"/>
      <c r="F57" s="80">
        <v>170.0</v>
      </c>
      <c r="G57" s="211"/>
      <c r="H57" s="83">
        <v>0.015532407407407408</v>
      </c>
      <c r="I57" s="83">
        <v>0.013078703703703703</v>
      </c>
      <c r="J57" s="212">
        <f t="shared" si="3"/>
        <v>0.8420268256</v>
      </c>
      <c r="K57" s="213" t="s">
        <v>323</v>
      </c>
      <c r="L57" s="214"/>
      <c r="M57" s="214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  <c r="AA57" s="117"/>
      <c r="AB57" s="117"/>
    </row>
    <row r="58">
      <c r="A58" s="174">
        <v>16.0</v>
      </c>
      <c r="B58" s="215" t="s">
        <v>436</v>
      </c>
      <c r="C58" s="88"/>
      <c r="D58" s="88">
        <v>70.0</v>
      </c>
      <c r="E58" s="88"/>
      <c r="F58" s="88">
        <v>12.0</v>
      </c>
      <c r="G58" s="216"/>
      <c r="H58" s="90">
        <v>0.010393518518518519</v>
      </c>
      <c r="I58" s="90">
        <v>0.01099537037037037</v>
      </c>
      <c r="J58" s="217">
        <f t="shared" si="3"/>
        <v>1.057906459</v>
      </c>
      <c r="K58" s="218" t="s">
        <v>326</v>
      </c>
      <c r="L58" s="175"/>
      <c r="M58" s="175"/>
    </row>
    <row r="59">
      <c r="A59" s="95"/>
      <c r="B59" s="241"/>
      <c r="C59" s="95"/>
      <c r="D59" s="95">
        <v>1304.0</v>
      </c>
      <c r="E59" s="95"/>
      <c r="F59" s="95"/>
      <c r="G59" s="95"/>
      <c r="H59" s="95"/>
      <c r="I59" s="95"/>
      <c r="J59" s="95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  <c r="AA59" s="97"/>
      <c r="AB59" s="97"/>
    </row>
    <row r="60">
      <c r="A60" s="95"/>
      <c r="B60" s="241"/>
      <c r="C60" s="95"/>
      <c r="D60" s="95"/>
      <c r="E60" s="95"/>
      <c r="F60" s="95"/>
      <c r="G60" s="95"/>
      <c r="H60" s="95"/>
      <c r="I60" s="95"/>
      <c r="J60" s="95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  <c r="AA60" s="97"/>
      <c r="AB60" s="97"/>
    </row>
    <row r="61">
      <c r="A61" s="95"/>
      <c r="B61" s="241"/>
      <c r="C61" s="95"/>
      <c r="D61" s="95"/>
      <c r="E61" s="95"/>
      <c r="F61" s="95"/>
      <c r="G61" s="95"/>
      <c r="H61" s="95"/>
      <c r="I61" s="95"/>
      <c r="J61" s="95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  <c r="AA61" s="97"/>
      <c r="AB61" s="97"/>
    </row>
    <row r="62">
      <c r="A62" s="95"/>
      <c r="B62" s="241"/>
      <c r="C62" s="95"/>
      <c r="D62" s="95"/>
      <c r="E62" s="95"/>
      <c r="F62" s="95"/>
      <c r="G62" s="95"/>
      <c r="H62" s="95"/>
      <c r="I62" s="95"/>
      <c r="J62" s="95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  <c r="AA62" s="97"/>
      <c r="AB62" s="97"/>
    </row>
    <row r="63">
      <c r="A63" s="95"/>
      <c r="B63" s="241"/>
      <c r="C63" s="95"/>
      <c r="D63" s="95"/>
      <c r="E63" s="95"/>
      <c r="F63" s="95"/>
      <c r="G63" s="95"/>
      <c r="H63" s="95"/>
      <c r="I63" s="95"/>
      <c r="J63" s="95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  <c r="AA63" s="97"/>
      <c r="AB63" s="97"/>
    </row>
    <row r="64">
      <c r="A64" s="95"/>
      <c r="B64" s="241"/>
      <c r="C64" s="95"/>
      <c r="D64" s="95"/>
      <c r="E64" s="95"/>
      <c r="F64" s="95"/>
      <c r="G64" s="95"/>
      <c r="H64" s="95"/>
      <c r="I64" s="95"/>
      <c r="J64" s="95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  <c r="AA64" s="97"/>
      <c r="AB64" s="97"/>
    </row>
    <row r="65">
      <c r="A65" s="95"/>
      <c r="B65" s="241"/>
      <c r="C65" s="95"/>
      <c r="D65" s="95"/>
      <c r="E65" s="95"/>
      <c r="F65" s="95"/>
      <c r="G65" s="95"/>
      <c r="H65" s="95"/>
      <c r="I65" s="95"/>
      <c r="J65" s="95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  <c r="AA65" s="97"/>
      <c r="AB65" s="97"/>
    </row>
    <row r="66">
      <c r="A66" s="95"/>
      <c r="B66" s="241"/>
      <c r="C66" s="95"/>
      <c r="D66" s="95"/>
      <c r="E66" s="95"/>
      <c r="F66" s="95"/>
      <c r="G66" s="95"/>
      <c r="H66" s="95"/>
      <c r="I66" s="95"/>
      <c r="J66" s="95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97"/>
      <c r="AB66" s="97"/>
    </row>
    <row r="67">
      <c r="A67" s="95"/>
      <c r="B67" s="241"/>
      <c r="C67" s="95"/>
      <c r="D67" s="95"/>
      <c r="E67" s="95"/>
      <c r="F67" s="95"/>
      <c r="G67" s="95"/>
      <c r="H67" s="95"/>
      <c r="I67" s="95"/>
      <c r="J67" s="95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  <c r="AA67" s="97"/>
      <c r="AB67" s="97"/>
    </row>
    <row r="68">
      <c r="A68" s="95"/>
      <c r="B68" s="241"/>
      <c r="C68" s="95"/>
      <c r="D68" s="95"/>
      <c r="E68" s="95"/>
      <c r="F68" s="95"/>
      <c r="G68" s="95"/>
      <c r="H68" s="95"/>
      <c r="I68" s="95"/>
      <c r="J68" s="95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  <c r="AA68" s="97"/>
      <c r="AB68" s="97"/>
    </row>
    <row r="69">
      <c r="A69" s="95"/>
      <c r="B69" s="241"/>
      <c r="C69" s="95"/>
      <c r="D69" s="95"/>
      <c r="E69" s="95"/>
      <c r="F69" s="95"/>
      <c r="G69" s="95"/>
      <c r="H69" s="95"/>
      <c r="I69" s="95"/>
      <c r="J69" s="95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  <c r="AA69" s="97"/>
      <c r="AB69" s="97"/>
    </row>
    <row r="70">
      <c r="A70" s="95"/>
      <c r="B70" s="241"/>
      <c r="C70" s="95"/>
      <c r="D70" s="95"/>
      <c r="E70" s="95"/>
      <c r="F70" s="95"/>
      <c r="G70" s="95"/>
      <c r="H70" s="95"/>
      <c r="I70" s="95"/>
      <c r="J70" s="95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  <c r="AA70" s="97"/>
      <c r="AB70" s="97"/>
    </row>
    <row r="71">
      <c r="A71" s="95"/>
      <c r="B71" s="241"/>
      <c r="C71" s="95"/>
      <c r="D71" s="95"/>
      <c r="E71" s="95"/>
      <c r="F71" s="95"/>
      <c r="G71" s="95"/>
      <c r="H71" s="95"/>
      <c r="I71" s="95"/>
      <c r="J71" s="95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  <c r="AA71" s="97"/>
      <c r="AB71" s="97"/>
    </row>
    <row r="72">
      <c r="A72" s="95"/>
      <c r="B72" s="241"/>
      <c r="C72" s="95"/>
      <c r="D72" s="95"/>
      <c r="E72" s="95"/>
      <c r="F72" s="95"/>
      <c r="G72" s="95"/>
      <c r="H72" s="95"/>
      <c r="I72" s="95"/>
      <c r="J72" s="95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  <c r="AA72" s="97"/>
      <c r="AB72" s="97"/>
    </row>
    <row r="73">
      <c r="A73" s="95"/>
      <c r="B73" s="241"/>
      <c r="C73" s="95"/>
      <c r="D73" s="95"/>
      <c r="E73" s="95"/>
      <c r="F73" s="95"/>
      <c r="G73" s="95"/>
      <c r="H73" s="95"/>
      <c r="I73" s="95"/>
      <c r="J73" s="95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  <c r="AA73" s="97"/>
      <c r="AB73" s="97"/>
    </row>
    <row r="74">
      <c r="A74" s="95"/>
      <c r="B74" s="241"/>
      <c r="C74" s="95"/>
      <c r="D74" s="95"/>
      <c r="E74" s="95"/>
      <c r="F74" s="95"/>
      <c r="G74" s="95"/>
      <c r="H74" s="95"/>
      <c r="I74" s="95"/>
      <c r="J74" s="95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  <c r="AA74" s="97"/>
      <c r="AB74" s="97"/>
    </row>
    <row r="75">
      <c r="A75" s="95"/>
      <c r="B75" s="241"/>
      <c r="C75" s="95"/>
      <c r="D75" s="95"/>
      <c r="E75" s="95"/>
      <c r="F75" s="95"/>
      <c r="G75" s="95"/>
      <c r="H75" s="95"/>
      <c r="I75" s="95"/>
      <c r="J75" s="95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  <c r="AA75" s="97"/>
      <c r="AB75" s="97"/>
    </row>
    <row r="76">
      <c r="A76" s="95"/>
      <c r="B76" s="241"/>
      <c r="C76" s="95"/>
      <c r="D76" s="95"/>
      <c r="E76" s="95"/>
      <c r="F76" s="95"/>
      <c r="G76" s="95"/>
      <c r="H76" s="95"/>
      <c r="I76" s="95"/>
      <c r="J76" s="95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  <c r="AA76" s="97"/>
      <c r="AB76" s="97"/>
    </row>
    <row r="77">
      <c r="A77" s="95"/>
      <c r="B77" s="241"/>
      <c r="C77" s="95"/>
      <c r="D77" s="95"/>
      <c r="E77" s="95"/>
      <c r="F77" s="95"/>
      <c r="G77" s="95"/>
      <c r="H77" s="95"/>
      <c r="I77" s="95"/>
      <c r="J77" s="95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  <c r="AA77" s="97"/>
      <c r="AB77" s="97"/>
    </row>
    <row r="78">
      <c r="A78" s="95"/>
      <c r="B78" s="241"/>
      <c r="C78" s="95"/>
      <c r="D78" s="95"/>
      <c r="E78" s="95"/>
      <c r="F78" s="95"/>
      <c r="G78" s="95"/>
      <c r="H78" s="95"/>
      <c r="I78" s="95"/>
      <c r="J78" s="95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  <c r="AA78" s="97"/>
      <c r="AB78" s="97"/>
    </row>
    <row r="79">
      <c r="A79" s="95"/>
      <c r="B79" s="241"/>
      <c r="C79" s="95"/>
      <c r="D79" s="95"/>
      <c r="E79" s="95"/>
      <c r="F79" s="95"/>
      <c r="G79" s="95"/>
      <c r="H79" s="95"/>
      <c r="I79" s="95"/>
      <c r="J79" s="95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  <c r="AA79" s="97"/>
      <c r="AB79" s="97"/>
    </row>
    <row r="80">
      <c r="A80" s="95"/>
      <c r="B80" s="241"/>
      <c r="C80" s="95"/>
      <c r="D80" s="95"/>
      <c r="E80" s="95"/>
      <c r="F80" s="95"/>
      <c r="G80" s="95"/>
      <c r="H80" s="95"/>
      <c r="I80" s="95"/>
      <c r="J80" s="95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  <c r="AA80" s="97"/>
      <c r="AB80" s="97"/>
    </row>
    <row r="81">
      <c r="A81" s="95"/>
      <c r="B81" s="241"/>
      <c r="C81" s="95"/>
      <c r="D81" s="95"/>
      <c r="E81" s="95"/>
      <c r="F81" s="95"/>
      <c r="G81" s="95"/>
      <c r="H81" s="95"/>
      <c r="I81" s="95"/>
      <c r="J81" s="95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  <c r="AA81" s="97"/>
      <c r="AB81" s="97"/>
    </row>
    <row r="82">
      <c r="A82" s="95"/>
      <c r="B82" s="241"/>
      <c r="C82" s="95"/>
      <c r="D82" s="95"/>
      <c r="E82" s="95"/>
      <c r="F82" s="95"/>
      <c r="G82" s="95"/>
      <c r="H82" s="95"/>
      <c r="I82" s="95"/>
      <c r="J82" s="95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  <c r="AA82" s="97"/>
      <c r="AB82" s="97"/>
    </row>
    <row r="83">
      <c r="A83" s="95"/>
      <c r="B83" s="241"/>
      <c r="C83" s="95"/>
      <c r="D83" s="95"/>
      <c r="E83" s="95"/>
      <c r="F83" s="95"/>
      <c r="G83" s="95"/>
      <c r="H83" s="95"/>
      <c r="I83" s="95"/>
      <c r="J83" s="95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  <c r="AA83" s="97"/>
      <c r="AB83" s="97"/>
    </row>
    <row r="84">
      <c r="A84" s="95"/>
      <c r="B84" s="241"/>
      <c r="C84" s="95"/>
      <c r="D84" s="95"/>
      <c r="E84" s="95"/>
      <c r="F84" s="95"/>
      <c r="G84" s="95"/>
      <c r="H84" s="95"/>
      <c r="I84" s="95"/>
      <c r="J84" s="95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  <c r="AA84" s="97"/>
      <c r="AB84" s="97"/>
    </row>
    <row r="85">
      <c r="A85" s="95"/>
      <c r="B85" s="241"/>
      <c r="C85" s="95"/>
      <c r="D85" s="95"/>
      <c r="E85" s="95"/>
      <c r="F85" s="95"/>
      <c r="G85" s="95"/>
      <c r="H85" s="95"/>
      <c r="I85" s="95"/>
      <c r="J85" s="95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  <c r="AA85" s="97"/>
      <c r="AB85" s="97"/>
    </row>
    <row r="86">
      <c r="A86" s="95"/>
      <c r="B86" s="241"/>
      <c r="C86" s="95"/>
      <c r="D86" s="95"/>
      <c r="E86" s="95"/>
      <c r="F86" s="95"/>
      <c r="G86" s="95"/>
      <c r="H86" s="95"/>
      <c r="I86" s="95"/>
      <c r="J86" s="95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</row>
    <row r="87">
      <c r="A87" s="95"/>
      <c r="B87" s="241"/>
      <c r="C87" s="95"/>
      <c r="D87" s="95"/>
      <c r="E87" s="95"/>
      <c r="F87" s="95"/>
      <c r="G87" s="95"/>
      <c r="H87" s="95"/>
      <c r="I87" s="95"/>
      <c r="J87" s="95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</row>
    <row r="88">
      <c r="A88" s="95"/>
      <c r="B88" s="241"/>
      <c r="C88" s="95"/>
      <c r="D88" s="95"/>
      <c r="E88" s="95"/>
      <c r="F88" s="95"/>
      <c r="G88" s="95"/>
      <c r="H88" s="95"/>
      <c r="I88" s="95"/>
      <c r="J88" s="95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</row>
    <row r="89">
      <c r="A89" s="95"/>
      <c r="B89" s="241"/>
      <c r="C89" s="95"/>
      <c r="D89" s="95"/>
      <c r="E89" s="95"/>
      <c r="F89" s="95"/>
      <c r="G89" s="95"/>
      <c r="H89" s="95"/>
      <c r="I89" s="95"/>
      <c r="J89" s="95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</row>
    <row r="90">
      <c r="A90" s="95"/>
      <c r="B90" s="241"/>
      <c r="C90" s="95"/>
      <c r="D90" s="95"/>
      <c r="E90" s="95"/>
      <c r="F90" s="95"/>
      <c r="G90" s="95"/>
      <c r="H90" s="95"/>
      <c r="I90" s="95"/>
      <c r="J90" s="95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</row>
    <row r="91">
      <c r="A91" s="95"/>
      <c r="B91" s="241"/>
      <c r="C91" s="95"/>
      <c r="D91" s="95"/>
      <c r="E91" s="95"/>
      <c r="F91" s="95"/>
      <c r="G91" s="95"/>
      <c r="H91" s="95"/>
      <c r="I91" s="95"/>
      <c r="J91" s="95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  <c r="AA91" s="97"/>
      <c r="AB91" s="97"/>
    </row>
    <row r="92">
      <c r="A92" s="95"/>
      <c r="B92" s="241"/>
      <c r="C92" s="95"/>
      <c r="D92" s="95"/>
      <c r="E92" s="95"/>
      <c r="F92" s="95"/>
      <c r="G92" s="95"/>
      <c r="H92" s="95"/>
      <c r="I92" s="95"/>
      <c r="J92" s="95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  <c r="AA92" s="97"/>
      <c r="AB92" s="97"/>
    </row>
    <row r="93">
      <c r="A93" s="95"/>
      <c r="B93" s="241"/>
      <c r="C93" s="95"/>
      <c r="D93" s="95"/>
      <c r="E93" s="95"/>
      <c r="F93" s="95"/>
      <c r="G93" s="95"/>
      <c r="H93" s="95"/>
      <c r="I93" s="95"/>
      <c r="J93" s="95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  <c r="AA93" s="97"/>
      <c r="AB93" s="97"/>
    </row>
    <row r="94">
      <c r="A94" s="11" t="s">
        <v>342</v>
      </c>
      <c r="B94" s="196" t="s">
        <v>316</v>
      </c>
      <c r="C94" s="11" t="s">
        <v>405</v>
      </c>
      <c r="D94" s="11" t="s">
        <v>466</v>
      </c>
      <c r="E94" s="11" t="s">
        <v>467</v>
      </c>
      <c r="F94" s="11" t="s">
        <v>468</v>
      </c>
      <c r="G94" s="11" t="s">
        <v>347</v>
      </c>
      <c r="H94" s="11" t="s">
        <v>469</v>
      </c>
      <c r="I94" s="11" t="s">
        <v>17</v>
      </c>
      <c r="J94" s="11" t="s">
        <v>349</v>
      </c>
    </row>
    <row r="95">
      <c r="A95" s="8">
        <v>1.0</v>
      </c>
      <c r="B95" s="76" t="s">
        <v>470</v>
      </c>
      <c r="C95" s="198">
        <v>45638.0</v>
      </c>
      <c r="D95" s="8">
        <v>317.0</v>
      </c>
      <c r="E95" s="242">
        <v>0.015555555555555555</v>
      </c>
      <c r="F95" s="8">
        <v>2827.0</v>
      </c>
      <c r="G95" s="8">
        <v>28.0</v>
      </c>
      <c r="H95" s="31">
        <f t="shared" ref="H95:H102" si="4">F95/D95</f>
        <v>8.917981073</v>
      </c>
      <c r="I95" s="18">
        <v>45439.0</v>
      </c>
    </row>
    <row r="96">
      <c r="A96" s="8">
        <v>2.0</v>
      </c>
      <c r="B96" s="76" t="s">
        <v>471</v>
      </c>
      <c r="C96" s="198">
        <v>45638.0</v>
      </c>
      <c r="D96" s="8">
        <v>172.0</v>
      </c>
      <c r="E96" s="242">
        <v>0.014849537037037038</v>
      </c>
      <c r="F96" s="8">
        <v>1941.0</v>
      </c>
      <c r="G96" s="8">
        <v>26.0</v>
      </c>
      <c r="H96" s="31">
        <f t="shared" si="4"/>
        <v>11.28488372</v>
      </c>
      <c r="I96" s="18">
        <v>45439.0</v>
      </c>
    </row>
    <row r="97">
      <c r="A97" s="8">
        <v>3.0</v>
      </c>
      <c r="B97" s="76" t="s">
        <v>472</v>
      </c>
      <c r="C97" s="198">
        <v>45638.0</v>
      </c>
      <c r="D97" s="8">
        <v>125.0</v>
      </c>
      <c r="E97" s="242">
        <v>0.016041666666666666</v>
      </c>
      <c r="F97" s="8">
        <v>1433.0</v>
      </c>
      <c r="G97" s="8">
        <v>23.0</v>
      </c>
      <c r="H97" s="31">
        <f t="shared" si="4"/>
        <v>11.464</v>
      </c>
      <c r="I97" s="18">
        <v>45439.0</v>
      </c>
    </row>
    <row r="98">
      <c r="A98" s="8">
        <v>4.0</v>
      </c>
      <c r="B98" s="76" t="s">
        <v>473</v>
      </c>
      <c r="C98" s="198">
        <v>45638.0</v>
      </c>
      <c r="D98" s="8">
        <v>59.0</v>
      </c>
      <c r="E98" s="242">
        <v>0.007523148148148148</v>
      </c>
      <c r="F98" s="8">
        <v>463.0</v>
      </c>
      <c r="G98" s="8">
        <v>10.0</v>
      </c>
      <c r="H98" s="31">
        <f t="shared" si="4"/>
        <v>7.847457627</v>
      </c>
      <c r="I98" s="18">
        <v>45439.0</v>
      </c>
    </row>
    <row r="99">
      <c r="A99" s="8">
        <v>5.0</v>
      </c>
      <c r="B99" s="76" t="s">
        <v>474</v>
      </c>
      <c r="C99" s="198">
        <v>45638.0</v>
      </c>
      <c r="D99" s="8">
        <v>130.0</v>
      </c>
      <c r="E99" s="242">
        <v>0.014143518518518519</v>
      </c>
      <c r="F99" s="8">
        <v>1579.0</v>
      </c>
      <c r="G99" s="8">
        <v>23.0</v>
      </c>
      <c r="H99" s="31">
        <f t="shared" si="4"/>
        <v>12.14615385</v>
      </c>
      <c r="I99" s="18">
        <v>45439.0</v>
      </c>
    </row>
    <row r="100">
      <c r="A100" s="8">
        <v>6.0</v>
      </c>
      <c r="B100" s="76" t="s">
        <v>475</v>
      </c>
      <c r="C100" s="198">
        <v>45638.0</v>
      </c>
      <c r="D100" s="8">
        <v>64.0</v>
      </c>
      <c r="E100" s="242">
        <v>0.016481481481481482</v>
      </c>
      <c r="F100" s="8">
        <v>814.0</v>
      </c>
      <c r="G100" s="8">
        <v>24.0</v>
      </c>
      <c r="H100" s="31">
        <f t="shared" si="4"/>
        <v>12.71875</v>
      </c>
      <c r="I100" s="18">
        <v>45439.0</v>
      </c>
    </row>
    <row r="101">
      <c r="A101" s="8">
        <v>7.0</v>
      </c>
      <c r="B101" s="76" t="s">
        <v>476</v>
      </c>
      <c r="C101" s="198">
        <v>45638.0</v>
      </c>
      <c r="D101" s="8">
        <v>84.0</v>
      </c>
      <c r="E101" s="242">
        <v>0.017534722222222222</v>
      </c>
      <c r="F101" s="8">
        <v>1023.0</v>
      </c>
      <c r="G101" s="8">
        <v>25.0</v>
      </c>
      <c r="H101" s="31">
        <f t="shared" si="4"/>
        <v>12.17857143</v>
      </c>
      <c r="I101" s="18">
        <v>45439.0</v>
      </c>
    </row>
    <row r="102">
      <c r="A102" s="8">
        <v>8.0</v>
      </c>
      <c r="B102" s="76" t="s">
        <v>477</v>
      </c>
      <c r="C102" s="198">
        <v>45638.0</v>
      </c>
      <c r="D102" s="8">
        <v>32.0</v>
      </c>
      <c r="E102" s="242">
        <v>0.013310185185185185</v>
      </c>
      <c r="F102" s="8">
        <v>338.0</v>
      </c>
      <c r="G102" s="8">
        <v>19.0</v>
      </c>
      <c r="H102" s="31">
        <f t="shared" si="4"/>
        <v>10.5625</v>
      </c>
      <c r="I102" s="18">
        <v>45439.0</v>
      </c>
    </row>
    <row r="103">
      <c r="B103" s="200"/>
      <c r="C103" s="198"/>
    </row>
    <row r="104">
      <c r="B104" s="200"/>
      <c r="C104" s="198"/>
    </row>
    <row r="105">
      <c r="B105" s="200"/>
    </row>
    <row r="106">
      <c r="B106" s="200"/>
    </row>
    <row r="107">
      <c r="B107" s="200"/>
    </row>
    <row r="108">
      <c r="B108" s="200"/>
    </row>
    <row r="109">
      <c r="B109" s="200"/>
    </row>
    <row r="110">
      <c r="B110" s="200"/>
    </row>
    <row r="111">
      <c r="B111" s="200"/>
    </row>
    <row r="112">
      <c r="B112" s="200"/>
    </row>
    <row r="113">
      <c r="B113" s="200"/>
    </row>
    <row r="114">
      <c r="B114" s="200"/>
    </row>
    <row r="115">
      <c r="B115" s="200"/>
    </row>
    <row r="116">
      <c r="B116" s="200"/>
    </row>
    <row r="117">
      <c r="B117" s="200"/>
    </row>
    <row r="118">
      <c r="B118" s="200"/>
    </row>
    <row r="119">
      <c r="B119" s="200"/>
    </row>
    <row r="120">
      <c r="B120" s="200"/>
    </row>
    <row r="121">
      <c r="B121" s="200"/>
    </row>
    <row r="122">
      <c r="B122" s="200"/>
    </row>
    <row r="123">
      <c r="B123" s="200"/>
    </row>
    <row r="124">
      <c r="B124" s="200"/>
    </row>
    <row r="125">
      <c r="B125" s="200"/>
    </row>
    <row r="126">
      <c r="B126" s="200"/>
    </row>
    <row r="127">
      <c r="B127" s="200"/>
    </row>
    <row r="128">
      <c r="B128" s="200"/>
    </row>
    <row r="129">
      <c r="B129" s="200"/>
    </row>
    <row r="130">
      <c r="B130" s="200"/>
    </row>
    <row r="131">
      <c r="A131" s="8" t="s">
        <v>478</v>
      </c>
      <c r="B131" s="200"/>
    </row>
    <row r="132">
      <c r="B132" s="197">
        <v>373.0</v>
      </c>
    </row>
    <row r="133">
      <c r="B133" s="200"/>
    </row>
    <row r="134">
      <c r="B134" s="200"/>
    </row>
    <row r="135">
      <c r="B135" s="200"/>
      <c r="D135" s="145"/>
    </row>
    <row r="136">
      <c r="B136" s="200"/>
    </row>
    <row r="137">
      <c r="B137" s="200"/>
    </row>
    <row r="138">
      <c r="B138" s="200"/>
    </row>
    <row r="139">
      <c r="B139" s="200"/>
    </row>
    <row r="140">
      <c r="B140" s="200"/>
    </row>
    <row r="141">
      <c r="B141" s="200"/>
    </row>
    <row r="142">
      <c r="B142" s="200"/>
    </row>
    <row r="143">
      <c r="B143" s="200"/>
    </row>
    <row r="144">
      <c r="B144" s="200"/>
    </row>
    <row r="145">
      <c r="B145" s="200"/>
    </row>
    <row r="146">
      <c r="B146" s="200"/>
    </row>
    <row r="147">
      <c r="B147" s="200"/>
    </row>
    <row r="148">
      <c r="B148" s="200"/>
    </row>
    <row r="149">
      <c r="B149" s="200"/>
    </row>
    <row r="150">
      <c r="B150" s="200"/>
    </row>
    <row r="151">
      <c r="B151" s="200"/>
    </row>
    <row r="152">
      <c r="B152" s="200"/>
    </row>
    <row r="153">
      <c r="B153" s="200"/>
    </row>
    <row r="154">
      <c r="B154" s="200"/>
    </row>
    <row r="155">
      <c r="B155" s="200"/>
    </row>
    <row r="156">
      <c r="B156" s="200"/>
    </row>
    <row r="157">
      <c r="B157" s="200"/>
    </row>
    <row r="158">
      <c r="B158" s="200"/>
    </row>
    <row r="159">
      <c r="B159" s="200"/>
    </row>
    <row r="160">
      <c r="B160" s="200"/>
    </row>
    <row r="161">
      <c r="B161" s="200"/>
    </row>
    <row r="162">
      <c r="B162" s="200"/>
    </row>
    <row r="163">
      <c r="B163" s="200"/>
    </row>
    <row r="164">
      <c r="B164" s="200"/>
    </row>
    <row r="165">
      <c r="B165" s="200"/>
    </row>
    <row r="166">
      <c r="B166" s="200"/>
    </row>
    <row r="167">
      <c r="B167" s="200"/>
    </row>
    <row r="168">
      <c r="B168" s="200"/>
    </row>
    <row r="169">
      <c r="B169" s="200"/>
    </row>
    <row r="170">
      <c r="B170" s="200"/>
    </row>
    <row r="171">
      <c r="B171" s="200"/>
    </row>
    <row r="172">
      <c r="B172" s="200"/>
    </row>
    <row r="173">
      <c r="B173" s="200"/>
    </row>
    <row r="174">
      <c r="B174" s="200"/>
    </row>
    <row r="175">
      <c r="B175" s="200"/>
    </row>
    <row r="176">
      <c r="B176" s="200"/>
    </row>
    <row r="177">
      <c r="B177" s="200"/>
    </row>
    <row r="178">
      <c r="B178" s="200"/>
    </row>
    <row r="179">
      <c r="B179" s="200"/>
    </row>
    <row r="180">
      <c r="B180" s="200"/>
    </row>
    <row r="181">
      <c r="B181" s="200"/>
    </row>
    <row r="182">
      <c r="B182" s="200"/>
    </row>
    <row r="183">
      <c r="B183" s="200"/>
    </row>
    <row r="184">
      <c r="B184" s="200"/>
    </row>
    <row r="185">
      <c r="B185" s="200"/>
    </row>
    <row r="186">
      <c r="B186" s="200"/>
    </row>
    <row r="187">
      <c r="B187" s="200"/>
    </row>
    <row r="188">
      <c r="B188" s="200"/>
    </row>
    <row r="189">
      <c r="B189" s="200"/>
    </row>
    <row r="190">
      <c r="B190" s="200"/>
    </row>
    <row r="191">
      <c r="B191" s="200"/>
    </row>
    <row r="192">
      <c r="B192" s="200"/>
    </row>
    <row r="193">
      <c r="B193" s="200"/>
    </row>
    <row r="194">
      <c r="B194" s="200"/>
    </row>
    <row r="195">
      <c r="B195" s="200"/>
    </row>
    <row r="196">
      <c r="B196" s="200"/>
    </row>
    <row r="197">
      <c r="B197" s="200"/>
    </row>
    <row r="198">
      <c r="B198" s="200"/>
    </row>
    <row r="199">
      <c r="B199" s="200"/>
    </row>
    <row r="200">
      <c r="B200" s="200"/>
    </row>
    <row r="201">
      <c r="B201" s="200"/>
    </row>
    <row r="202">
      <c r="B202" s="200"/>
    </row>
    <row r="203">
      <c r="B203" s="200"/>
    </row>
    <row r="204">
      <c r="B204" s="200"/>
    </row>
    <row r="205">
      <c r="B205" s="200"/>
    </row>
    <row r="206">
      <c r="B206" s="200"/>
    </row>
    <row r="207">
      <c r="B207" s="200"/>
    </row>
    <row r="208">
      <c r="B208" s="200"/>
    </row>
    <row r="209">
      <c r="B209" s="200"/>
    </row>
    <row r="210">
      <c r="B210" s="200"/>
    </row>
    <row r="211">
      <c r="B211" s="200"/>
    </row>
    <row r="212">
      <c r="B212" s="200"/>
    </row>
    <row r="213">
      <c r="B213" s="200"/>
    </row>
    <row r="214">
      <c r="B214" s="200"/>
    </row>
    <row r="215">
      <c r="B215" s="200"/>
    </row>
    <row r="216">
      <c r="B216" s="200"/>
    </row>
    <row r="217">
      <c r="B217" s="200"/>
    </row>
    <row r="218">
      <c r="B218" s="200"/>
    </row>
    <row r="219">
      <c r="B219" s="200"/>
    </row>
    <row r="220">
      <c r="B220" s="200"/>
    </row>
    <row r="221">
      <c r="B221" s="200"/>
    </row>
    <row r="222">
      <c r="B222" s="200"/>
    </row>
    <row r="223">
      <c r="B223" s="200"/>
    </row>
    <row r="224">
      <c r="B224" s="200"/>
    </row>
    <row r="225">
      <c r="B225" s="200"/>
    </row>
    <row r="226">
      <c r="B226" s="200"/>
    </row>
    <row r="227">
      <c r="B227" s="200"/>
    </row>
    <row r="228">
      <c r="B228" s="200"/>
    </row>
    <row r="229">
      <c r="B229" s="200"/>
    </row>
    <row r="230">
      <c r="B230" s="200"/>
    </row>
    <row r="231">
      <c r="B231" s="200"/>
    </row>
    <row r="232">
      <c r="B232" s="200"/>
    </row>
    <row r="233">
      <c r="B233" s="200"/>
    </row>
    <row r="234">
      <c r="B234" s="200"/>
    </row>
    <row r="235">
      <c r="B235" s="200"/>
    </row>
    <row r="236">
      <c r="B236" s="200"/>
    </row>
    <row r="237">
      <c r="B237" s="200"/>
    </row>
    <row r="238">
      <c r="B238" s="200"/>
    </row>
    <row r="239">
      <c r="B239" s="200"/>
    </row>
    <row r="240">
      <c r="B240" s="200"/>
    </row>
    <row r="241">
      <c r="B241" s="200"/>
    </row>
    <row r="242">
      <c r="B242" s="200"/>
    </row>
    <row r="243">
      <c r="B243" s="200"/>
    </row>
    <row r="244">
      <c r="B244" s="200"/>
    </row>
    <row r="245">
      <c r="B245" s="200"/>
    </row>
    <row r="246">
      <c r="B246" s="200"/>
    </row>
    <row r="247">
      <c r="B247" s="200"/>
    </row>
    <row r="248">
      <c r="B248" s="200"/>
    </row>
    <row r="249">
      <c r="B249" s="200"/>
    </row>
    <row r="250">
      <c r="B250" s="200"/>
    </row>
    <row r="251">
      <c r="B251" s="200"/>
    </row>
    <row r="252">
      <c r="B252" s="200"/>
    </row>
    <row r="253">
      <c r="B253" s="200"/>
    </row>
    <row r="254">
      <c r="B254" s="200"/>
    </row>
    <row r="255">
      <c r="B255" s="200"/>
    </row>
    <row r="256">
      <c r="B256" s="200"/>
    </row>
    <row r="257">
      <c r="B257" s="200"/>
    </row>
    <row r="258">
      <c r="B258" s="200"/>
    </row>
    <row r="259">
      <c r="B259" s="200"/>
    </row>
    <row r="260">
      <c r="B260" s="200"/>
    </row>
    <row r="261">
      <c r="B261" s="200"/>
    </row>
    <row r="262">
      <c r="B262" s="200"/>
    </row>
    <row r="263">
      <c r="B263" s="200"/>
    </row>
    <row r="264">
      <c r="B264" s="200"/>
    </row>
    <row r="265">
      <c r="B265" s="200"/>
    </row>
    <row r="266">
      <c r="B266" s="200"/>
    </row>
    <row r="267">
      <c r="B267" s="200"/>
    </row>
    <row r="268">
      <c r="B268" s="200"/>
    </row>
    <row r="269">
      <c r="B269" s="200"/>
    </row>
    <row r="270">
      <c r="B270" s="200"/>
    </row>
    <row r="271">
      <c r="B271" s="200"/>
    </row>
    <row r="272">
      <c r="B272" s="200"/>
    </row>
    <row r="273">
      <c r="B273" s="200"/>
    </row>
    <row r="274">
      <c r="B274" s="200"/>
    </row>
    <row r="275">
      <c r="B275" s="200"/>
    </row>
    <row r="276">
      <c r="B276" s="200"/>
    </row>
    <row r="277">
      <c r="B277" s="200"/>
    </row>
    <row r="278">
      <c r="B278" s="200"/>
    </row>
    <row r="279">
      <c r="B279" s="200"/>
    </row>
    <row r="280">
      <c r="B280" s="200"/>
    </row>
    <row r="281">
      <c r="B281" s="200"/>
    </row>
    <row r="282">
      <c r="B282" s="200"/>
    </row>
    <row r="283">
      <c r="B283" s="200"/>
    </row>
    <row r="284">
      <c r="B284" s="200"/>
    </row>
    <row r="285">
      <c r="B285" s="200"/>
    </row>
    <row r="286">
      <c r="B286" s="200"/>
    </row>
    <row r="287">
      <c r="B287" s="200"/>
    </row>
    <row r="288">
      <c r="B288" s="200"/>
    </row>
    <row r="289">
      <c r="B289" s="200"/>
    </row>
    <row r="290">
      <c r="B290" s="200"/>
    </row>
    <row r="291">
      <c r="B291" s="200"/>
    </row>
    <row r="292">
      <c r="B292" s="200"/>
    </row>
    <row r="293">
      <c r="B293" s="200"/>
    </row>
    <row r="294">
      <c r="B294" s="200"/>
    </row>
    <row r="295">
      <c r="B295" s="200"/>
    </row>
    <row r="296">
      <c r="B296" s="200"/>
    </row>
    <row r="297">
      <c r="B297" s="200"/>
    </row>
    <row r="298">
      <c r="B298" s="200"/>
    </row>
    <row r="299">
      <c r="B299" s="200"/>
    </row>
    <row r="300">
      <c r="B300" s="200"/>
    </row>
    <row r="301">
      <c r="B301" s="200"/>
    </row>
    <row r="302">
      <c r="B302" s="200"/>
    </row>
    <row r="303">
      <c r="B303" s="200"/>
    </row>
    <row r="304">
      <c r="B304" s="200"/>
    </row>
    <row r="305">
      <c r="B305" s="200"/>
    </row>
    <row r="306">
      <c r="B306" s="200"/>
    </row>
    <row r="307">
      <c r="B307" s="200"/>
    </row>
    <row r="308">
      <c r="B308" s="200"/>
    </row>
    <row r="309">
      <c r="B309" s="200"/>
    </row>
    <row r="310">
      <c r="B310" s="200"/>
    </row>
    <row r="311">
      <c r="B311" s="200"/>
    </row>
    <row r="312">
      <c r="B312" s="200"/>
    </row>
    <row r="313">
      <c r="B313" s="200"/>
    </row>
    <row r="314">
      <c r="B314" s="200"/>
    </row>
    <row r="315">
      <c r="B315" s="200"/>
    </row>
    <row r="316">
      <c r="B316" s="200"/>
    </row>
    <row r="317">
      <c r="B317" s="200"/>
    </row>
    <row r="318">
      <c r="B318" s="200"/>
    </row>
    <row r="319">
      <c r="B319" s="200"/>
    </row>
    <row r="320">
      <c r="B320" s="200"/>
    </row>
    <row r="321">
      <c r="B321" s="200"/>
    </row>
    <row r="322">
      <c r="B322" s="200"/>
    </row>
    <row r="323">
      <c r="B323" s="200"/>
    </row>
    <row r="324">
      <c r="B324" s="200"/>
    </row>
    <row r="325">
      <c r="B325" s="200"/>
    </row>
    <row r="326">
      <c r="B326" s="200"/>
    </row>
    <row r="327">
      <c r="B327" s="200"/>
    </row>
    <row r="328">
      <c r="B328" s="200"/>
    </row>
    <row r="329">
      <c r="B329" s="200"/>
    </row>
    <row r="330">
      <c r="B330" s="200"/>
    </row>
    <row r="331">
      <c r="B331" s="200"/>
    </row>
    <row r="332">
      <c r="B332" s="200"/>
    </row>
    <row r="333">
      <c r="B333" s="200"/>
    </row>
    <row r="334">
      <c r="B334" s="200"/>
    </row>
    <row r="335">
      <c r="B335" s="200"/>
    </row>
    <row r="336">
      <c r="B336" s="200"/>
    </row>
    <row r="337">
      <c r="B337" s="200"/>
    </row>
    <row r="338">
      <c r="B338" s="200"/>
    </row>
    <row r="339">
      <c r="B339" s="200"/>
    </row>
    <row r="340">
      <c r="B340" s="200"/>
    </row>
    <row r="341">
      <c r="B341" s="200"/>
    </row>
    <row r="342">
      <c r="B342" s="200"/>
    </row>
    <row r="343">
      <c r="B343" s="200"/>
    </row>
    <row r="344">
      <c r="B344" s="200"/>
    </row>
    <row r="345">
      <c r="B345" s="200"/>
    </row>
    <row r="346">
      <c r="B346" s="200"/>
    </row>
    <row r="347">
      <c r="B347" s="200"/>
    </row>
    <row r="348">
      <c r="B348" s="200"/>
    </row>
    <row r="349">
      <c r="B349" s="200"/>
    </row>
    <row r="350">
      <c r="B350" s="200"/>
    </row>
    <row r="351">
      <c r="B351" s="200"/>
    </row>
    <row r="352">
      <c r="B352" s="200"/>
    </row>
    <row r="353">
      <c r="B353" s="200"/>
    </row>
    <row r="354">
      <c r="B354" s="200"/>
    </row>
    <row r="355">
      <c r="B355" s="200"/>
    </row>
    <row r="356">
      <c r="B356" s="200"/>
    </row>
    <row r="357">
      <c r="B357" s="200"/>
    </row>
    <row r="358">
      <c r="B358" s="200"/>
    </row>
    <row r="359">
      <c r="B359" s="200"/>
    </row>
    <row r="360">
      <c r="B360" s="200"/>
    </row>
    <row r="361">
      <c r="B361" s="200"/>
    </row>
    <row r="362">
      <c r="B362" s="200"/>
    </row>
    <row r="363">
      <c r="B363" s="200"/>
    </row>
    <row r="364">
      <c r="B364" s="200"/>
    </row>
    <row r="365">
      <c r="B365" s="200"/>
    </row>
    <row r="366">
      <c r="B366" s="200"/>
    </row>
    <row r="367">
      <c r="B367" s="200"/>
    </row>
    <row r="368">
      <c r="B368" s="200"/>
    </row>
    <row r="369">
      <c r="B369" s="200"/>
    </row>
    <row r="370">
      <c r="B370" s="200"/>
    </row>
    <row r="371">
      <c r="B371" s="200"/>
    </row>
    <row r="372">
      <c r="B372" s="200"/>
    </row>
    <row r="373">
      <c r="B373" s="200"/>
    </row>
    <row r="374">
      <c r="B374" s="200"/>
    </row>
    <row r="375">
      <c r="B375" s="200"/>
    </row>
    <row r="376">
      <c r="B376" s="200"/>
    </row>
    <row r="377">
      <c r="B377" s="200"/>
    </row>
    <row r="378">
      <c r="B378" s="200"/>
    </row>
    <row r="379">
      <c r="B379" s="200"/>
    </row>
    <row r="380">
      <c r="B380" s="200"/>
    </row>
    <row r="381">
      <c r="B381" s="200"/>
    </row>
    <row r="382">
      <c r="B382" s="200"/>
    </row>
    <row r="383">
      <c r="B383" s="200"/>
    </row>
    <row r="384">
      <c r="B384" s="200"/>
    </row>
    <row r="385">
      <c r="B385" s="200"/>
    </row>
    <row r="386">
      <c r="B386" s="200"/>
    </row>
    <row r="387">
      <c r="B387" s="200"/>
    </row>
    <row r="388">
      <c r="B388" s="200"/>
    </row>
    <row r="389">
      <c r="B389" s="200"/>
    </row>
    <row r="390">
      <c r="B390" s="200"/>
    </row>
    <row r="391">
      <c r="B391" s="200"/>
    </row>
    <row r="392">
      <c r="B392" s="200"/>
    </row>
    <row r="393">
      <c r="B393" s="200"/>
    </row>
    <row r="394">
      <c r="B394" s="200"/>
    </row>
    <row r="395">
      <c r="B395" s="200"/>
    </row>
    <row r="396">
      <c r="B396" s="200"/>
    </row>
    <row r="397">
      <c r="B397" s="200"/>
    </row>
    <row r="398">
      <c r="B398" s="200"/>
    </row>
    <row r="399">
      <c r="B399" s="200"/>
    </row>
    <row r="400">
      <c r="B400" s="200"/>
    </row>
    <row r="401">
      <c r="B401" s="200"/>
    </row>
    <row r="402">
      <c r="B402" s="200"/>
    </row>
    <row r="403">
      <c r="B403" s="200"/>
    </row>
    <row r="404">
      <c r="B404" s="200"/>
    </row>
    <row r="405">
      <c r="B405" s="200"/>
    </row>
    <row r="406">
      <c r="B406" s="200"/>
    </row>
    <row r="407">
      <c r="B407" s="200"/>
    </row>
    <row r="408">
      <c r="B408" s="200"/>
    </row>
    <row r="409">
      <c r="B409" s="200"/>
    </row>
    <row r="410">
      <c r="B410" s="200"/>
    </row>
    <row r="411">
      <c r="B411" s="200"/>
    </row>
    <row r="412">
      <c r="B412" s="200"/>
    </row>
    <row r="413">
      <c r="B413" s="200"/>
    </row>
    <row r="414">
      <c r="B414" s="200"/>
    </row>
    <row r="415">
      <c r="B415" s="200"/>
    </row>
    <row r="416">
      <c r="B416" s="200"/>
    </row>
    <row r="417">
      <c r="B417" s="200"/>
    </row>
    <row r="418">
      <c r="B418" s="200"/>
    </row>
    <row r="419">
      <c r="B419" s="200"/>
    </row>
    <row r="420">
      <c r="B420" s="200"/>
    </row>
    <row r="421">
      <c r="B421" s="200"/>
    </row>
    <row r="422">
      <c r="B422" s="200"/>
    </row>
    <row r="423">
      <c r="B423" s="200"/>
    </row>
    <row r="424">
      <c r="B424" s="200"/>
    </row>
    <row r="425">
      <c r="B425" s="200"/>
    </row>
    <row r="426">
      <c r="B426" s="200"/>
    </row>
    <row r="427">
      <c r="B427" s="200"/>
    </row>
    <row r="428">
      <c r="B428" s="200"/>
    </row>
    <row r="429">
      <c r="B429" s="200"/>
    </row>
    <row r="430">
      <c r="B430" s="200"/>
    </row>
    <row r="431">
      <c r="B431" s="200"/>
    </row>
    <row r="432">
      <c r="B432" s="200"/>
    </row>
    <row r="433">
      <c r="B433" s="200"/>
    </row>
    <row r="434">
      <c r="B434" s="200"/>
    </row>
    <row r="435">
      <c r="B435" s="200"/>
    </row>
    <row r="436">
      <c r="B436" s="200"/>
    </row>
    <row r="437">
      <c r="B437" s="200"/>
    </row>
    <row r="438">
      <c r="B438" s="200"/>
    </row>
    <row r="439">
      <c r="B439" s="200"/>
    </row>
    <row r="440">
      <c r="B440" s="200"/>
    </row>
    <row r="441">
      <c r="B441" s="200"/>
    </row>
    <row r="442">
      <c r="B442" s="200"/>
    </row>
    <row r="443">
      <c r="B443" s="200"/>
    </row>
    <row r="444">
      <c r="B444" s="200"/>
    </row>
    <row r="445">
      <c r="B445" s="200"/>
    </row>
    <row r="446">
      <c r="B446" s="200"/>
    </row>
    <row r="447">
      <c r="B447" s="200"/>
    </row>
    <row r="448">
      <c r="B448" s="200"/>
    </row>
    <row r="449">
      <c r="B449" s="200"/>
    </row>
    <row r="450">
      <c r="B450" s="200"/>
    </row>
    <row r="451">
      <c r="B451" s="200"/>
    </row>
    <row r="452">
      <c r="B452" s="200"/>
    </row>
    <row r="453">
      <c r="B453" s="200"/>
    </row>
    <row r="454">
      <c r="B454" s="200"/>
    </row>
    <row r="455">
      <c r="B455" s="200"/>
    </row>
    <row r="456">
      <c r="B456" s="200"/>
    </row>
    <row r="457">
      <c r="B457" s="200"/>
    </row>
    <row r="458">
      <c r="B458" s="200"/>
    </row>
    <row r="459">
      <c r="B459" s="200"/>
    </row>
    <row r="460">
      <c r="B460" s="200"/>
    </row>
    <row r="461">
      <c r="B461" s="200"/>
    </row>
    <row r="462">
      <c r="B462" s="200"/>
    </row>
    <row r="463">
      <c r="B463" s="200"/>
    </row>
    <row r="464">
      <c r="B464" s="200"/>
    </row>
    <row r="465">
      <c r="B465" s="200"/>
    </row>
    <row r="466">
      <c r="B466" s="200"/>
    </row>
    <row r="467">
      <c r="B467" s="200"/>
    </row>
    <row r="468">
      <c r="B468" s="200"/>
    </row>
    <row r="469">
      <c r="B469" s="200"/>
    </row>
    <row r="470">
      <c r="B470" s="200"/>
    </row>
    <row r="471">
      <c r="B471" s="200"/>
    </row>
    <row r="472">
      <c r="B472" s="200"/>
    </row>
    <row r="473">
      <c r="B473" s="200"/>
    </row>
    <row r="474">
      <c r="B474" s="200"/>
    </row>
    <row r="475">
      <c r="B475" s="200"/>
    </row>
    <row r="476">
      <c r="B476" s="200"/>
    </row>
    <row r="477">
      <c r="B477" s="200"/>
    </row>
    <row r="478">
      <c r="B478" s="200"/>
    </row>
    <row r="479">
      <c r="B479" s="200"/>
    </row>
    <row r="480">
      <c r="B480" s="200"/>
    </row>
    <row r="481">
      <c r="B481" s="200"/>
    </row>
    <row r="482">
      <c r="B482" s="200"/>
    </row>
    <row r="483">
      <c r="B483" s="200"/>
    </row>
    <row r="484">
      <c r="B484" s="200"/>
    </row>
    <row r="485">
      <c r="B485" s="200"/>
    </row>
    <row r="486">
      <c r="B486" s="200"/>
    </row>
    <row r="487">
      <c r="B487" s="200"/>
    </row>
    <row r="488">
      <c r="B488" s="200"/>
    </row>
    <row r="489">
      <c r="B489" s="200"/>
    </row>
    <row r="490">
      <c r="B490" s="200"/>
    </row>
    <row r="491">
      <c r="B491" s="200"/>
    </row>
    <row r="492">
      <c r="B492" s="200"/>
    </row>
    <row r="493">
      <c r="B493" s="200"/>
    </row>
    <row r="494">
      <c r="B494" s="200"/>
    </row>
    <row r="495">
      <c r="B495" s="200"/>
    </row>
    <row r="496">
      <c r="B496" s="200"/>
    </row>
    <row r="497">
      <c r="B497" s="200"/>
    </row>
    <row r="498">
      <c r="B498" s="200"/>
    </row>
    <row r="499">
      <c r="B499" s="200"/>
    </row>
    <row r="500">
      <c r="B500" s="200"/>
    </row>
    <row r="501">
      <c r="B501" s="200"/>
    </row>
    <row r="502">
      <c r="B502" s="200"/>
    </row>
    <row r="503">
      <c r="B503" s="200"/>
    </row>
    <row r="504">
      <c r="B504" s="200"/>
    </row>
    <row r="505">
      <c r="B505" s="200"/>
    </row>
    <row r="506">
      <c r="B506" s="200"/>
    </row>
    <row r="507">
      <c r="B507" s="200"/>
    </row>
    <row r="508">
      <c r="B508" s="200"/>
    </row>
    <row r="509">
      <c r="B509" s="200"/>
    </row>
    <row r="510">
      <c r="B510" s="200"/>
    </row>
    <row r="511">
      <c r="B511" s="200"/>
    </row>
    <row r="512">
      <c r="B512" s="200"/>
    </row>
    <row r="513">
      <c r="B513" s="200"/>
    </row>
    <row r="514">
      <c r="B514" s="200"/>
    </row>
    <row r="515">
      <c r="B515" s="200"/>
    </row>
    <row r="516">
      <c r="B516" s="200"/>
    </row>
    <row r="517">
      <c r="B517" s="200"/>
    </row>
    <row r="518">
      <c r="B518" s="200"/>
    </row>
    <row r="519">
      <c r="B519" s="200"/>
    </row>
    <row r="520">
      <c r="B520" s="200"/>
    </row>
    <row r="521">
      <c r="B521" s="200"/>
    </row>
    <row r="522">
      <c r="B522" s="200"/>
    </row>
    <row r="523">
      <c r="B523" s="200"/>
    </row>
    <row r="524">
      <c r="B524" s="200"/>
    </row>
    <row r="525">
      <c r="B525" s="200"/>
    </row>
    <row r="526">
      <c r="B526" s="200"/>
    </row>
    <row r="527">
      <c r="B527" s="200"/>
    </row>
    <row r="528">
      <c r="B528" s="200"/>
    </row>
    <row r="529">
      <c r="B529" s="200"/>
    </row>
    <row r="530">
      <c r="B530" s="200"/>
    </row>
    <row r="531">
      <c r="B531" s="200"/>
    </row>
    <row r="532">
      <c r="B532" s="200"/>
    </row>
    <row r="533">
      <c r="B533" s="200"/>
    </row>
    <row r="534">
      <c r="B534" s="200"/>
    </row>
    <row r="535">
      <c r="B535" s="200"/>
    </row>
    <row r="536">
      <c r="B536" s="200"/>
    </row>
    <row r="537">
      <c r="B537" s="200"/>
    </row>
    <row r="538">
      <c r="B538" s="200"/>
    </row>
    <row r="539">
      <c r="B539" s="200"/>
    </row>
    <row r="540">
      <c r="B540" s="200"/>
    </row>
    <row r="541">
      <c r="B541" s="200"/>
    </row>
    <row r="542">
      <c r="B542" s="200"/>
    </row>
    <row r="543">
      <c r="B543" s="200"/>
    </row>
    <row r="544">
      <c r="B544" s="200"/>
    </row>
    <row r="545">
      <c r="B545" s="200"/>
    </row>
    <row r="546">
      <c r="B546" s="200"/>
    </row>
    <row r="547">
      <c r="B547" s="200"/>
    </row>
    <row r="548">
      <c r="B548" s="200"/>
    </row>
    <row r="549">
      <c r="B549" s="200"/>
    </row>
    <row r="550">
      <c r="B550" s="200"/>
    </row>
    <row r="551">
      <c r="B551" s="200"/>
    </row>
    <row r="552">
      <c r="B552" s="200"/>
    </row>
    <row r="553">
      <c r="B553" s="200"/>
    </row>
    <row r="554">
      <c r="B554" s="200"/>
    </row>
    <row r="555">
      <c r="B555" s="200"/>
    </row>
    <row r="556">
      <c r="B556" s="200"/>
    </row>
    <row r="557">
      <c r="B557" s="200"/>
    </row>
    <row r="558">
      <c r="B558" s="200"/>
    </row>
    <row r="559">
      <c r="B559" s="200"/>
    </row>
    <row r="560">
      <c r="B560" s="200"/>
    </row>
    <row r="561">
      <c r="B561" s="200"/>
    </row>
    <row r="562">
      <c r="B562" s="200"/>
    </row>
    <row r="563">
      <c r="B563" s="200"/>
    </row>
    <row r="564">
      <c r="B564" s="200"/>
    </row>
    <row r="565">
      <c r="B565" s="200"/>
    </row>
    <row r="566">
      <c r="B566" s="200"/>
    </row>
    <row r="567">
      <c r="B567" s="200"/>
    </row>
    <row r="568">
      <c r="B568" s="200"/>
    </row>
    <row r="569">
      <c r="B569" s="200"/>
    </row>
    <row r="570">
      <c r="B570" s="200"/>
    </row>
    <row r="571">
      <c r="B571" s="200"/>
    </row>
    <row r="572">
      <c r="B572" s="200"/>
    </row>
    <row r="573">
      <c r="B573" s="200"/>
    </row>
    <row r="574">
      <c r="B574" s="200"/>
    </row>
    <row r="575">
      <c r="B575" s="200"/>
    </row>
    <row r="576">
      <c r="B576" s="200"/>
    </row>
    <row r="577">
      <c r="B577" s="200"/>
    </row>
    <row r="578">
      <c r="B578" s="200"/>
    </row>
    <row r="579">
      <c r="B579" s="200"/>
    </row>
    <row r="580">
      <c r="B580" s="200"/>
    </row>
    <row r="581">
      <c r="B581" s="200"/>
    </row>
    <row r="582">
      <c r="B582" s="200"/>
    </row>
    <row r="583">
      <c r="B583" s="200"/>
    </row>
    <row r="584">
      <c r="B584" s="200"/>
    </row>
    <row r="585">
      <c r="B585" s="200"/>
    </row>
    <row r="586">
      <c r="B586" s="200"/>
    </row>
    <row r="587">
      <c r="B587" s="200"/>
    </row>
    <row r="588">
      <c r="B588" s="200"/>
    </row>
    <row r="589">
      <c r="B589" s="200"/>
    </row>
    <row r="590">
      <c r="B590" s="200"/>
    </row>
    <row r="591">
      <c r="B591" s="200"/>
    </row>
    <row r="592">
      <c r="B592" s="200"/>
    </row>
    <row r="593">
      <c r="B593" s="200"/>
    </row>
    <row r="594">
      <c r="B594" s="200"/>
    </row>
    <row r="595">
      <c r="B595" s="200"/>
    </row>
    <row r="596">
      <c r="B596" s="200"/>
    </row>
    <row r="597">
      <c r="B597" s="200"/>
    </row>
    <row r="598">
      <c r="B598" s="200"/>
    </row>
    <row r="599">
      <c r="B599" s="200"/>
    </row>
    <row r="600">
      <c r="B600" s="200"/>
    </row>
    <row r="601">
      <c r="B601" s="200"/>
    </row>
    <row r="602">
      <c r="B602" s="200"/>
    </row>
    <row r="603">
      <c r="B603" s="200"/>
    </row>
    <row r="604">
      <c r="B604" s="200"/>
    </row>
    <row r="605">
      <c r="B605" s="200"/>
    </row>
    <row r="606">
      <c r="B606" s="200"/>
    </row>
    <row r="607">
      <c r="B607" s="200"/>
    </row>
    <row r="608">
      <c r="B608" s="200"/>
    </row>
    <row r="609">
      <c r="B609" s="200"/>
    </row>
    <row r="610">
      <c r="B610" s="200"/>
    </row>
    <row r="611">
      <c r="B611" s="200"/>
    </row>
    <row r="612">
      <c r="B612" s="200"/>
    </row>
    <row r="613">
      <c r="B613" s="200"/>
    </row>
    <row r="614">
      <c r="B614" s="200"/>
    </row>
    <row r="615">
      <c r="B615" s="200"/>
    </row>
    <row r="616">
      <c r="B616" s="200"/>
    </row>
    <row r="617">
      <c r="B617" s="200"/>
    </row>
    <row r="618">
      <c r="B618" s="200"/>
    </row>
    <row r="619">
      <c r="B619" s="200"/>
    </row>
    <row r="620">
      <c r="B620" s="200"/>
    </row>
    <row r="621">
      <c r="B621" s="200"/>
    </row>
    <row r="622">
      <c r="B622" s="200"/>
    </row>
    <row r="623">
      <c r="B623" s="200"/>
    </row>
    <row r="624">
      <c r="B624" s="200"/>
    </row>
    <row r="625">
      <c r="B625" s="200"/>
    </row>
    <row r="626">
      <c r="B626" s="200"/>
    </row>
    <row r="627">
      <c r="B627" s="200"/>
    </row>
    <row r="628">
      <c r="B628" s="200"/>
    </row>
    <row r="629">
      <c r="B629" s="200"/>
    </row>
    <row r="630">
      <c r="B630" s="200"/>
    </row>
    <row r="631">
      <c r="B631" s="200"/>
    </row>
    <row r="632">
      <c r="B632" s="200"/>
    </row>
    <row r="633">
      <c r="B633" s="200"/>
    </row>
    <row r="634">
      <c r="B634" s="200"/>
    </row>
    <row r="635">
      <c r="B635" s="200"/>
    </row>
    <row r="636">
      <c r="B636" s="200"/>
    </row>
    <row r="637">
      <c r="B637" s="200"/>
    </row>
    <row r="638">
      <c r="B638" s="200"/>
    </row>
    <row r="639">
      <c r="B639" s="200"/>
    </row>
    <row r="640">
      <c r="B640" s="200"/>
    </row>
    <row r="641">
      <c r="B641" s="200"/>
    </row>
    <row r="642">
      <c r="B642" s="200"/>
    </row>
    <row r="643">
      <c r="B643" s="200"/>
    </row>
    <row r="644">
      <c r="B644" s="200"/>
    </row>
    <row r="645">
      <c r="B645" s="200"/>
    </row>
    <row r="646">
      <c r="B646" s="200"/>
    </row>
    <row r="647">
      <c r="B647" s="200"/>
    </row>
    <row r="648">
      <c r="B648" s="200"/>
    </row>
    <row r="649">
      <c r="B649" s="200"/>
    </row>
    <row r="650">
      <c r="B650" s="200"/>
    </row>
    <row r="651">
      <c r="B651" s="200"/>
    </row>
    <row r="652">
      <c r="B652" s="200"/>
    </row>
    <row r="653">
      <c r="B653" s="200"/>
    </row>
    <row r="654">
      <c r="B654" s="200"/>
    </row>
    <row r="655">
      <c r="B655" s="200"/>
    </row>
    <row r="656">
      <c r="B656" s="200"/>
    </row>
    <row r="657">
      <c r="B657" s="200"/>
    </row>
    <row r="658">
      <c r="B658" s="200"/>
    </row>
    <row r="659">
      <c r="B659" s="200"/>
    </row>
    <row r="660">
      <c r="B660" s="200"/>
    </row>
    <row r="661">
      <c r="B661" s="200"/>
    </row>
    <row r="662">
      <c r="B662" s="200"/>
    </row>
    <row r="663">
      <c r="B663" s="200"/>
    </row>
    <row r="664">
      <c r="B664" s="200"/>
    </row>
    <row r="665">
      <c r="B665" s="200"/>
    </row>
    <row r="666">
      <c r="B666" s="200"/>
    </row>
    <row r="667">
      <c r="B667" s="200"/>
    </row>
    <row r="668">
      <c r="B668" s="200"/>
    </row>
    <row r="669">
      <c r="B669" s="200"/>
    </row>
    <row r="670">
      <c r="B670" s="200"/>
    </row>
    <row r="671">
      <c r="B671" s="200"/>
    </row>
    <row r="672">
      <c r="B672" s="200"/>
    </row>
    <row r="673">
      <c r="B673" s="200"/>
    </row>
    <row r="674">
      <c r="B674" s="200"/>
    </row>
    <row r="675">
      <c r="B675" s="200"/>
    </row>
    <row r="676">
      <c r="B676" s="200"/>
    </row>
    <row r="677">
      <c r="B677" s="200"/>
    </row>
    <row r="678">
      <c r="B678" s="200"/>
    </row>
    <row r="679">
      <c r="B679" s="200"/>
    </row>
    <row r="680">
      <c r="B680" s="200"/>
    </row>
    <row r="681">
      <c r="B681" s="200"/>
    </row>
    <row r="682">
      <c r="B682" s="200"/>
    </row>
    <row r="683">
      <c r="B683" s="200"/>
    </row>
    <row r="684">
      <c r="B684" s="200"/>
    </row>
    <row r="685">
      <c r="B685" s="200"/>
    </row>
    <row r="686">
      <c r="B686" s="200"/>
    </row>
    <row r="687">
      <c r="B687" s="200"/>
    </row>
    <row r="688">
      <c r="B688" s="200"/>
    </row>
    <row r="689">
      <c r="B689" s="200"/>
    </row>
    <row r="690">
      <c r="B690" s="200"/>
    </row>
    <row r="691">
      <c r="B691" s="200"/>
    </row>
    <row r="692">
      <c r="B692" s="200"/>
    </row>
    <row r="693">
      <c r="B693" s="200"/>
    </row>
    <row r="694">
      <c r="B694" s="200"/>
    </row>
    <row r="695">
      <c r="B695" s="200"/>
    </row>
    <row r="696">
      <c r="B696" s="200"/>
    </row>
    <row r="697">
      <c r="B697" s="200"/>
    </row>
    <row r="698">
      <c r="B698" s="200"/>
    </row>
    <row r="699">
      <c r="B699" s="200"/>
    </row>
    <row r="700">
      <c r="B700" s="200"/>
    </row>
    <row r="701">
      <c r="B701" s="200"/>
    </row>
    <row r="702">
      <c r="B702" s="200"/>
    </row>
    <row r="703">
      <c r="B703" s="200"/>
    </row>
    <row r="704">
      <c r="B704" s="200"/>
    </row>
    <row r="705">
      <c r="B705" s="200"/>
    </row>
    <row r="706">
      <c r="B706" s="200"/>
    </row>
    <row r="707">
      <c r="B707" s="200"/>
    </row>
    <row r="708">
      <c r="B708" s="200"/>
    </row>
    <row r="709">
      <c r="B709" s="200"/>
    </row>
    <row r="710">
      <c r="B710" s="200"/>
    </row>
    <row r="711">
      <c r="B711" s="200"/>
    </row>
    <row r="712">
      <c r="B712" s="200"/>
    </row>
    <row r="713">
      <c r="B713" s="200"/>
    </row>
    <row r="714">
      <c r="B714" s="200"/>
    </row>
    <row r="715">
      <c r="B715" s="200"/>
    </row>
    <row r="716">
      <c r="B716" s="200"/>
    </row>
    <row r="717">
      <c r="B717" s="200"/>
    </row>
    <row r="718">
      <c r="B718" s="200"/>
    </row>
    <row r="719">
      <c r="B719" s="200"/>
    </row>
    <row r="720">
      <c r="B720" s="200"/>
    </row>
    <row r="721">
      <c r="B721" s="200"/>
    </row>
    <row r="722">
      <c r="B722" s="200"/>
    </row>
    <row r="723">
      <c r="B723" s="200"/>
    </row>
    <row r="724">
      <c r="B724" s="200"/>
    </row>
    <row r="725">
      <c r="B725" s="200"/>
    </row>
    <row r="726">
      <c r="B726" s="200"/>
    </row>
    <row r="727">
      <c r="B727" s="200"/>
    </row>
    <row r="728">
      <c r="B728" s="200"/>
    </row>
    <row r="729">
      <c r="B729" s="200"/>
    </row>
    <row r="730">
      <c r="B730" s="200"/>
    </row>
    <row r="731">
      <c r="B731" s="200"/>
    </row>
    <row r="732">
      <c r="B732" s="200"/>
    </row>
    <row r="733">
      <c r="B733" s="200"/>
    </row>
    <row r="734">
      <c r="B734" s="200"/>
    </row>
    <row r="735">
      <c r="B735" s="200"/>
    </row>
    <row r="736">
      <c r="B736" s="200"/>
    </row>
    <row r="737">
      <c r="B737" s="200"/>
    </row>
    <row r="738">
      <c r="B738" s="200"/>
    </row>
    <row r="739">
      <c r="B739" s="200"/>
    </row>
    <row r="740">
      <c r="B740" s="200"/>
    </row>
    <row r="741">
      <c r="B741" s="200"/>
    </row>
    <row r="742">
      <c r="B742" s="200"/>
    </row>
    <row r="743">
      <c r="B743" s="200"/>
    </row>
    <row r="744">
      <c r="B744" s="200"/>
    </row>
    <row r="745">
      <c r="B745" s="200"/>
    </row>
    <row r="746">
      <c r="B746" s="200"/>
    </row>
    <row r="747">
      <c r="B747" s="200"/>
    </row>
    <row r="748">
      <c r="B748" s="200"/>
    </row>
    <row r="749">
      <c r="B749" s="200"/>
    </row>
    <row r="750">
      <c r="B750" s="200"/>
    </row>
    <row r="751">
      <c r="B751" s="200"/>
    </row>
    <row r="752">
      <c r="B752" s="200"/>
    </row>
    <row r="753">
      <c r="B753" s="200"/>
    </row>
    <row r="754">
      <c r="B754" s="200"/>
    </row>
    <row r="755">
      <c r="B755" s="200"/>
    </row>
    <row r="756">
      <c r="B756" s="200"/>
    </row>
    <row r="757">
      <c r="B757" s="200"/>
    </row>
    <row r="758">
      <c r="B758" s="200"/>
    </row>
    <row r="759">
      <c r="B759" s="200"/>
    </row>
    <row r="760">
      <c r="B760" s="200"/>
    </row>
    <row r="761">
      <c r="B761" s="200"/>
    </row>
    <row r="762">
      <c r="B762" s="200"/>
    </row>
    <row r="763">
      <c r="B763" s="200"/>
    </row>
    <row r="764">
      <c r="B764" s="200"/>
    </row>
    <row r="765">
      <c r="B765" s="200"/>
    </row>
    <row r="766">
      <c r="B766" s="200"/>
    </row>
    <row r="767">
      <c r="B767" s="200"/>
    </row>
    <row r="768">
      <c r="B768" s="200"/>
    </row>
    <row r="769">
      <c r="B769" s="200"/>
    </row>
    <row r="770">
      <c r="B770" s="200"/>
    </row>
    <row r="771">
      <c r="B771" s="200"/>
    </row>
    <row r="772">
      <c r="B772" s="200"/>
    </row>
    <row r="773">
      <c r="B773" s="200"/>
    </row>
    <row r="774">
      <c r="B774" s="200"/>
    </row>
    <row r="775">
      <c r="B775" s="200"/>
    </row>
    <row r="776">
      <c r="B776" s="200"/>
    </row>
    <row r="777">
      <c r="B777" s="200"/>
    </row>
    <row r="778">
      <c r="B778" s="200"/>
    </row>
    <row r="779">
      <c r="B779" s="200"/>
    </row>
    <row r="780">
      <c r="B780" s="200"/>
    </row>
    <row r="781">
      <c r="B781" s="200"/>
    </row>
    <row r="782">
      <c r="B782" s="200"/>
    </row>
    <row r="783">
      <c r="B783" s="200"/>
    </row>
    <row r="784">
      <c r="B784" s="200"/>
    </row>
    <row r="785">
      <c r="B785" s="200"/>
    </row>
    <row r="786">
      <c r="B786" s="200"/>
    </row>
    <row r="787">
      <c r="B787" s="200"/>
    </row>
    <row r="788">
      <c r="B788" s="200"/>
    </row>
    <row r="789">
      <c r="B789" s="200"/>
    </row>
    <row r="790">
      <c r="B790" s="200"/>
    </row>
    <row r="791">
      <c r="B791" s="200"/>
    </row>
    <row r="792">
      <c r="B792" s="200"/>
    </row>
    <row r="793">
      <c r="B793" s="200"/>
    </row>
    <row r="794">
      <c r="B794" s="200"/>
    </row>
    <row r="795">
      <c r="B795" s="200"/>
    </row>
    <row r="796">
      <c r="B796" s="200"/>
    </row>
    <row r="797">
      <c r="B797" s="200"/>
    </row>
    <row r="798">
      <c r="B798" s="200"/>
    </row>
    <row r="799">
      <c r="B799" s="200"/>
    </row>
    <row r="800">
      <c r="B800" s="200"/>
    </row>
    <row r="801">
      <c r="B801" s="200"/>
    </row>
    <row r="802">
      <c r="B802" s="200"/>
    </row>
    <row r="803">
      <c r="B803" s="200"/>
    </row>
    <row r="804">
      <c r="B804" s="200"/>
    </row>
    <row r="805">
      <c r="B805" s="200"/>
    </row>
    <row r="806">
      <c r="B806" s="200"/>
    </row>
    <row r="807">
      <c r="B807" s="200"/>
    </row>
    <row r="808">
      <c r="B808" s="200"/>
    </row>
    <row r="809">
      <c r="B809" s="200"/>
    </row>
    <row r="810">
      <c r="B810" s="200"/>
    </row>
    <row r="811">
      <c r="B811" s="200"/>
    </row>
    <row r="812">
      <c r="B812" s="200"/>
    </row>
    <row r="813">
      <c r="B813" s="200"/>
    </row>
    <row r="814">
      <c r="B814" s="200"/>
    </row>
    <row r="815">
      <c r="B815" s="200"/>
    </row>
    <row r="816">
      <c r="B816" s="200"/>
    </row>
    <row r="817">
      <c r="B817" s="200"/>
    </row>
    <row r="818">
      <c r="B818" s="200"/>
    </row>
    <row r="819">
      <c r="B819" s="200"/>
    </row>
    <row r="820">
      <c r="B820" s="200"/>
    </row>
    <row r="821">
      <c r="B821" s="200"/>
    </row>
    <row r="822">
      <c r="B822" s="200"/>
    </row>
    <row r="823">
      <c r="B823" s="200"/>
    </row>
    <row r="824">
      <c r="B824" s="200"/>
    </row>
    <row r="825">
      <c r="B825" s="200"/>
    </row>
    <row r="826">
      <c r="B826" s="200"/>
    </row>
    <row r="827">
      <c r="B827" s="200"/>
    </row>
    <row r="828">
      <c r="B828" s="200"/>
    </row>
    <row r="829">
      <c r="B829" s="200"/>
    </row>
    <row r="830">
      <c r="B830" s="200"/>
    </row>
    <row r="831">
      <c r="B831" s="200"/>
    </row>
    <row r="832">
      <c r="B832" s="200"/>
    </row>
    <row r="833">
      <c r="B833" s="200"/>
    </row>
    <row r="834">
      <c r="B834" s="200"/>
    </row>
    <row r="835">
      <c r="B835" s="200"/>
    </row>
    <row r="836">
      <c r="B836" s="200"/>
    </row>
    <row r="837">
      <c r="B837" s="200"/>
    </row>
    <row r="838">
      <c r="B838" s="200"/>
    </row>
    <row r="839">
      <c r="B839" s="200"/>
    </row>
    <row r="840">
      <c r="B840" s="200"/>
    </row>
    <row r="841">
      <c r="B841" s="200"/>
    </row>
    <row r="842">
      <c r="B842" s="200"/>
    </row>
    <row r="843">
      <c r="B843" s="200"/>
    </row>
    <row r="844">
      <c r="B844" s="200"/>
    </row>
    <row r="845">
      <c r="B845" s="200"/>
    </row>
    <row r="846">
      <c r="B846" s="200"/>
    </row>
    <row r="847">
      <c r="B847" s="200"/>
    </row>
    <row r="848">
      <c r="B848" s="200"/>
    </row>
    <row r="849">
      <c r="B849" s="200"/>
    </row>
    <row r="850">
      <c r="B850" s="200"/>
    </row>
    <row r="851">
      <c r="B851" s="200"/>
    </row>
    <row r="852">
      <c r="B852" s="200"/>
    </row>
    <row r="853">
      <c r="B853" s="200"/>
    </row>
    <row r="854">
      <c r="B854" s="200"/>
    </row>
    <row r="855">
      <c r="B855" s="200"/>
    </row>
    <row r="856">
      <c r="B856" s="200"/>
    </row>
    <row r="857">
      <c r="B857" s="200"/>
    </row>
    <row r="858">
      <c r="B858" s="200"/>
    </row>
    <row r="859">
      <c r="B859" s="200"/>
    </row>
    <row r="860">
      <c r="B860" s="200"/>
    </row>
    <row r="861">
      <c r="B861" s="200"/>
    </row>
    <row r="862">
      <c r="B862" s="200"/>
    </row>
    <row r="863">
      <c r="B863" s="200"/>
    </row>
    <row r="864">
      <c r="B864" s="200"/>
    </row>
    <row r="865">
      <c r="B865" s="200"/>
    </row>
    <row r="866">
      <c r="B866" s="200"/>
    </row>
    <row r="867">
      <c r="B867" s="200"/>
    </row>
    <row r="868">
      <c r="B868" s="200"/>
    </row>
    <row r="869">
      <c r="B869" s="200"/>
    </row>
    <row r="870">
      <c r="B870" s="200"/>
    </row>
    <row r="871">
      <c r="B871" s="200"/>
    </row>
    <row r="872">
      <c r="B872" s="200"/>
    </row>
    <row r="873">
      <c r="B873" s="200"/>
    </row>
    <row r="874">
      <c r="B874" s="200"/>
    </row>
    <row r="875">
      <c r="B875" s="200"/>
    </row>
    <row r="876">
      <c r="B876" s="200"/>
    </row>
    <row r="877">
      <c r="B877" s="200"/>
    </row>
    <row r="878">
      <c r="B878" s="200"/>
    </row>
    <row r="879">
      <c r="B879" s="200"/>
    </row>
    <row r="880">
      <c r="B880" s="200"/>
    </row>
    <row r="881">
      <c r="B881" s="200"/>
    </row>
    <row r="882">
      <c r="B882" s="200"/>
    </row>
    <row r="883">
      <c r="B883" s="200"/>
    </row>
    <row r="884">
      <c r="B884" s="200"/>
    </row>
    <row r="885">
      <c r="B885" s="200"/>
    </row>
    <row r="886">
      <c r="B886" s="200"/>
    </row>
    <row r="887">
      <c r="B887" s="200"/>
    </row>
    <row r="888">
      <c r="B888" s="200"/>
    </row>
    <row r="889">
      <c r="B889" s="200"/>
    </row>
    <row r="890">
      <c r="B890" s="200"/>
    </row>
    <row r="891">
      <c r="B891" s="200"/>
    </row>
    <row r="892">
      <c r="B892" s="200"/>
    </row>
    <row r="893">
      <c r="B893" s="200"/>
    </row>
    <row r="894">
      <c r="B894" s="200"/>
    </row>
    <row r="895">
      <c r="B895" s="200"/>
    </row>
    <row r="896">
      <c r="B896" s="200"/>
    </row>
    <row r="897">
      <c r="B897" s="200"/>
    </row>
    <row r="898">
      <c r="B898" s="200"/>
    </row>
    <row r="899">
      <c r="B899" s="200"/>
    </row>
    <row r="900">
      <c r="B900" s="200"/>
    </row>
    <row r="901">
      <c r="B901" s="200"/>
    </row>
    <row r="902">
      <c r="B902" s="200"/>
    </row>
    <row r="903">
      <c r="B903" s="200"/>
    </row>
    <row r="904">
      <c r="B904" s="200"/>
    </row>
    <row r="905">
      <c r="B905" s="200"/>
    </row>
    <row r="906">
      <c r="B906" s="200"/>
    </row>
    <row r="907">
      <c r="B907" s="200"/>
    </row>
    <row r="908">
      <c r="B908" s="200"/>
    </row>
    <row r="909">
      <c r="B909" s="200"/>
    </row>
    <row r="910">
      <c r="B910" s="200"/>
    </row>
    <row r="911">
      <c r="B911" s="200"/>
    </row>
    <row r="912">
      <c r="B912" s="200"/>
    </row>
    <row r="913">
      <c r="B913" s="200"/>
    </row>
    <row r="914">
      <c r="B914" s="200"/>
    </row>
    <row r="915">
      <c r="B915" s="200"/>
    </row>
    <row r="916">
      <c r="B916" s="200"/>
    </row>
    <row r="917">
      <c r="B917" s="200"/>
    </row>
    <row r="918">
      <c r="B918" s="200"/>
    </row>
    <row r="919">
      <c r="B919" s="200"/>
    </row>
    <row r="920">
      <c r="B920" s="200"/>
    </row>
    <row r="921">
      <c r="B921" s="200"/>
    </row>
    <row r="922">
      <c r="B922" s="200"/>
    </row>
    <row r="923">
      <c r="B923" s="200"/>
    </row>
    <row r="924">
      <c r="B924" s="200"/>
    </row>
    <row r="925">
      <c r="B925" s="200"/>
    </row>
    <row r="926">
      <c r="B926" s="200"/>
    </row>
    <row r="927">
      <c r="B927" s="200"/>
    </row>
    <row r="928">
      <c r="B928" s="200"/>
    </row>
    <row r="929">
      <c r="B929" s="200"/>
    </row>
    <row r="930">
      <c r="B930" s="200"/>
    </row>
    <row r="931">
      <c r="B931" s="200"/>
    </row>
    <row r="932">
      <c r="B932" s="200"/>
    </row>
    <row r="933">
      <c r="B933" s="200"/>
    </row>
    <row r="934">
      <c r="B934" s="200"/>
    </row>
    <row r="935">
      <c r="B935" s="200"/>
    </row>
    <row r="936">
      <c r="B936" s="200"/>
    </row>
    <row r="937">
      <c r="B937" s="200"/>
    </row>
    <row r="938">
      <c r="B938" s="200"/>
    </row>
    <row r="939">
      <c r="B939" s="200"/>
    </row>
    <row r="940">
      <c r="B940" s="200"/>
    </row>
    <row r="941">
      <c r="B941" s="200"/>
    </row>
    <row r="942">
      <c r="B942" s="200"/>
    </row>
    <row r="943">
      <c r="B943" s="200"/>
    </row>
    <row r="944">
      <c r="B944" s="200"/>
    </row>
    <row r="945">
      <c r="B945" s="200"/>
    </row>
    <row r="946">
      <c r="B946" s="200"/>
    </row>
    <row r="947">
      <c r="B947" s="200"/>
    </row>
    <row r="948">
      <c r="B948" s="200"/>
    </row>
    <row r="949">
      <c r="B949" s="200"/>
    </row>
    <row r="950">
      <c r="B950" s="200"/>
    </row>
    <row r="951">
      <c r="B951" s="200"/>
    </row>
    <row r="952">
      <c r="B952" s="200"/>
    </row>
    <row r="953">
      <c r="B953" s="200"/>
    </row>
    <row r="954">
      <c r="B954" s="200"/>
    </row>
    <row r="955">
      <c r="B955" s="200"/>
    </row>
    <row r="956">
      <c r="B956" s="200"/>
    </row>
    <row r="957">
      <c r="B957" s="200"/>
    </row>
    <row r="958">
      <c r="B958" s="200"/>
    </row>
    <row r="959">
      <c r="B959" s="200"/>
    </row>
    <row r="960">
      <c r="B960" s="200"/>
    </row>
    <row r="961">
      <c r="B961" s="200"/>
    </row>
    <row r="962">
      <c r="B962" s="200"/>
    </row>
    <row r="963">
      <c r="B963" s="200"/>
    </row>
    <row r="964">
      <c r="B964" s="200"/>
    </row>
    <row r="965">
      <c r="B965" s="200"/>
    </row>
    <row r="966">
      <c r="B966" s="200"/>
    </row>
    <row r="967">
      <c r="B967" s="200"/>
    </row>
    <row r="968">
      <c r="B968" s="200"/>
    </row>
    <row r="969">
      <c r="B969" s="200"/>
    </row>
    <row r="970">
      <c r="B970" s="200"/>
    </row>
    <row r="971">
      <c r="B971" s="200"/>
    </row>
    <row r="972">
      <c r="B972" s="200"/>
    </row>
    <row r="973">
      <c r="B973" s="200"/>
    </row>
    <row r="974">
      <c r="B974" s="200"/>
    </row>
    <row r="975">
      <c r="B975" s="200"/>
    </row>
    <row r="976">
      <c r="B976" s="200"/>
    </row>
    <row r="977">
      <c r="B977" s="200"/>
    </row>
    <row r="978">
      <c r="B978" s="200"/>
    </row>
    <row r="979">
      <c r="B979" s="200"/>
    </row>
    <row r="980">
      <c r="B980" s="200"/>
    </row>
    <row r="981">
      <c r="B981" s="200"/>
    </row>
    <row r="982">
      <c r="B982" s="200"/>
    </row>
    <row r="983">
      <c r="B983" s="200"/>
    </row>
    <row r="984">
      <c r="B984" s="200"/>
    </row>
    <row r="985">
      <c r="B985" s="200"/>
    </row>
    <row r="986">
      <c r="B986" s="200"/>
    </row>
    <row r="987">
      <c r="B987" s="200"/>
    </row>
    <row r="988">
      <c r="B988" s="200"/>
    </row>
    <row r="989">
      <c r="B989" s="200"/>
    </row>
    <row r="990">
      <c r="B990" s="200"/>
    </row>
    <row r="991">
      <c r="B991" s="200"/>
    </row>
    <row r="992">
      <c r="B992" s="200"/>
    </row>
    <row r="993">
      <c r="B993" s="200"/>
    </row>
    <row r="994">
      <c r="B994" s="200"/>
    </row>
    <row r="995">
      <c r="B995" s="200"/>
    </row>
    <row r="996">
      <c r="B996" s="200"/>
    </row>
    <row r="997">
      <c r="B997" s="200"/>
    </row>
    <row r="998">
      <c r="B998" s="200"/>
    </row>
    <row r="999">
      <c r="B999" s="200"/>
    </row>
    <row r="1000">
      <c r="B1000" s="200"/>
    </row>
    <row r="1001">
      <c r="B1001" s="200"/>
    </row>
    <row r="1002">
      <c r="B1002" s="200"/>
    </row>
    <row r="1003">
      <c r="B1003" s="200"/>
    </row>
    <row r="1004">
      <c r="B1004" s="200"/>
    </row>
    <row r="1005">
      <c r="B1005" s="200"/>
    </row>
    <row r="1006">
      <c r="B1006" s="200"/>
    </row>
    <row r="1007">
      <c r="B1007" s="200"/>
    </row>
    <row r="1008">
      <c r="B1008" s="200"/>
    </row>
    <row r="1009">
      <c r="B1009" s="200"/>
    </row>
    <row r="1010">
      <c r="B1010" s="200"/>
    </row>
    <row r="1011">
      <c r="B1011" s="200"/>
    </row>
    <row r="1012">
      <c r="B1012" s="200"/>
    </row>
    <row r="1013">
      <c r="B1013" s="200"/>
    </row>
    <row r="1014">
      <c r="B1014" s="200"/>
    </row>
    <row r="1015">
      <c r="B1015" s="200"/>
    </row>
    <row r="1016">
      <c r="B1016" s="200"/>
    </row>
    <row r="1017">
      <c r="B1017" s="200"/>
    </row>
    <row r="1018">
      <c r="B1018" s="200"/>
    </row>
    <row r="1019">
      <c r="B1019" s="200"/>
    </row>
    <row r="1020">
      <c r="B1020" s="200"/>
    </row>
    <row r="1021">
      <c r="B1021" s="200"/>
    </row>
    <row r="1022">
      <c r="B1022" s="200"/>
    </row>
    <row r="1023">
      <c r="B1023" s="200"/>
    </row>
    <row r="1024">
      <c r="B1024" s="200"/>
    </row>
    <row r="1025">
      <c r="B1025" s="200"/>
    </row>
    <row r="1026">
      <c r="B1026" s="200"/>
    </row>
    <row r="1027">
      <c r="B1027" s="200"/>
    </row>
    <row r="1028">
      <c r="B1028" s="200"/>
    </row>
    <row r="1029">
      <c r="B1029" s="200"/>
    </row>
    <row r="1030">
      <c r="B1030" s="200"/>
    </row>
    <row r="1031">
      <c r="B1031" s="200"/>
    </row>
    <row r="1032">
      <c r="B1032" s="200"/>
    </row>
    <row r="1033">
      <c r="B1033" s="200"/>
    </row>
    <row r="1034">
      <c r="B1034" s="200"/>
    </row>
    <row r="1035">
      <c r="B1035" s="200"/>
    </row>
    <row r="1036">
      <c r="B1036" s="200"/>
    </row>
    <row r="1037">
      <c r="B1037" s="200"/>
    </row>
    <row r="1038">
      <c r="B1038" s="200"/>
    </row>
    <row r="1039">
      <c r="B1039" s="200"/>
    </row>
    <row r="1040">
      <c r="B1040" s="200"/>
    </row>
    <row r="1041">
      <c r="B1041" s="200"/>
    </row>
    <row r="1042">
      <c r="B1042" s="200"/>
    </row>
    <row r="1043">
      <c r="B1043" s="200"/>
    </row>
    <row r="1044">
      <c r="B1044" s="200"/>
    </row>
    <row r="1045">
      <c r="B1045" s="200"/>
    </row>
    <row r="1046">
      <c r="B1046" s="200"/>
    </row>
    <row r="1047">
      <c r="B1047" s="200"/>
    </row>
    <row r="1048">
      <c r="B1048" s="200"/>
    </row>
    <row r="1049">
      <c r="B1049" s="200"/>
    </row>
    <row r="1050">
      <c r="B1050" s="200"/>
    </row>
    <row r="1051">
      <c r="B1051" s="200"/>
    </row>
    <row r="1052">
      <c r="B1052" s="200"/>
    </row>
    <row r="1053">
      <c r="B1053" s="200"/>
    </row>
    <row r="1054">
      <c r="B1054" s="200"/>
    </row>
    <row r="1055">
      <c r="B1055" s="200"/>
    </row>
    <row r="1056">
      <c r="B1056" s="200"/>
    </row>
    <row r="1057">
      <c r="B1057" s="200"/>
    </row>
    <row r="1058">
      <c r="B1058" s="200"/>
    </row>
    <row r="1059">
      <c r="B1059" s="200"/>
    </row>
    <row r="1060">
      <c r="B1060" s="200"/>
    </row>
    <row r="1061">
      <c r="B1061" s="200"/>
    </row>
    <row r="1062">
      <c r="B1062" s="200"/>
    </row>
    <row r="1063">
      <c r="B1063" s="200"/>
    </row>
    <row r="1064">
      <c r="B1064" s="200"/>
    </row>
    <row r="1065">
      <c r="B1065" s="200"/>
    </row>
    <row r="1066">
      <c r="B1066" s="200"/>
    </row>
    <row r="1067">
      <c r="B1067" s="200"/>
    </row>
    <row r="1068">
      <c r="B1068" s="200"/>
    </row>
    <row r="1069">
      <c r="B1069" s="200"/>
    </row>
    <row r="1070">
      <c r="B1070" s="200"/>
    </row>
    <row r="1071">
      <c r="B1071" s="200"/>
    </row>
    <row r="1072">
      <c r="B1072" s="200"/>
    </row>
    <row r="1073">
      <c r="B1073" s="200"/>
    </row>
    <row r="1074">
      <c r="B1074" s="200"/>
    </row>
    <row r="1075">
      <c r="B1075" s="200"/>
    </row>
    <row r="1076">
      <c r="B1076" s="200"/>
    </row>
    <row r="1077">
      <c r="B1077" s="200"/>
    </row>
    <row r="1078">
      <c r="B1078" s="200"/>
    </row>
    <row r="1079">
      <c r="B1079" s="200"/>
    </row>
    <row r="1080">
      <c r="B1080" s="200"/>
    </row>
    <row r="1081">
      <c r="B1081" s="200"/>
    </row>
    <row r="1082">
      <c r="B1082" s="200"/>
    </row>
    <row r="1083">
      <c r="B1083" s="200"/>
    </row>
    <row r="1084">
      <c r="B1084" s="200"/>
    </row>
    <row r="1085">
      <c r="B1085" s="200"/>
    </row>
    <row r="1086">
      <c r="B1086" s="200"/>
    </row>
    <row r="1087">
      <c r="B1087" s="200"/>
    </row>
    <row r="1088">
      <c r="B1088" s="200"/>
    </row>
    <row r="1089">
      <c r="B1089" s="200"/>
    </row>
    <row r="1090">
      <c r="B1090" s="200"/>
    </row>
    <row r="1091">
      <c r="B1091" s="200"/>
    </row>
    <row r="1092">
      <c r="B1092" s="200"/>
    </row>
    <row r="1093">
      <c r="B1093" s="200"/>
    </row>
  </sheetData>
  <hyperlinks>
    <hyperlink r:id="rId1" ref="G4"/>
    <hyperlink r:id="rId2" ref="H4"/>
    <hyperlink r:id="rId3" ref="B6"/>
    <hyperlink r:id="rId4" ref="B7"/>
    <hyperlink r:id="rId5" ref="B8"/>
    <hyperlink r:id="rId6" ref="B9"/>
    <hyperlink r:id="rId7" ref="B10"/>
    <hyperlink r:id="rId8" ref="B11"/>
    <hyperlink r:id="rId9" ref="B12"/>
    <hyperlink r:id="rId10" ref="B13"/>
    <hyperlink r:id="rId11" ref="B14"/>
    <hyperlink r:id="rId12" ref="B15"/>
    <hyperlink r:id="rId13" ref="B16"/>
    <hyperlink r:id="rId14" ref="B17"/>
    <hyperlink r:id="rId15" ref="B18"/>
    <hyperlink r:id="rId16" ref="B19"/>
    <hyperlink r:id="rId17" ref="B20"/>
    <hyperlink r:id="rId18" ref="B21"/>
    <hyperlink r:id="rId19" ref="B43"/>
    <hyperlink r:id="rId20" ref="B44"/>
    <hyperlink r:id="rId21" ref="B45"/>
    <hyperlink r:id="rId22" ref="B46"/>
    <hyperlink r:id="rId23" ref="B47"/>
    <hyperlink r:id="rId24" ref="B48"/>
    <hyperlink r:id="rId25" ref="B49"/>
    <hyperlink r:id="rId26" ref="B50"/>
    <hyperlink r:id="rId27" ref="B51"/>
    <hyperlink r:id="rId28" ref="B52"/>
    <hyperlink r:id="rId29" ref="B53"/>
    <hyperlink r:id="rId30" ref="B54"/>
    <hyperlink r:id="rId31" ref="B55"/>
    <hyperlink r:id="rId32" ref="B56"/>
    <hyperlink r:id="rId33" ref="B57"/>
    <hyperlink r:id="rId34" ref="B58"/>
    <hyperlink r:id="rId35" ref="B95"/>
    <hyperlink r:id="rId36" ref="B96"/>
    <hyperlink r:id="rId37" ref="B97"/>
    <hyperlink r:id="rId38" ref="B98"/>
    <hyperlink r:id="rId39" ref="B99"/>
    <hyperlink r:id="rId40" ref="B100"/>
    <hyperlink r:id="rId41" ref="B101"/>
    <hyperlink r:id="rId42" ref="B102"/>
  </hyperlinks>
  <drawing r:id="rId4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6.0" topLeftCell="A37" activePane="bottomLeft" state="frozen"/>
      <selection activeCell="B38" sqref="B38" pane="bottomLeft"/>
    </sheetView>
  </sheetViews>
  <sheetFormatPr customHeight="1" defaultColWidth="12.63" defaultRowHeight="15.75"/>
  <cols>
    <col customWidth="1" min="2" max="2" width="68.88"/>
    <col customWidth="1" min="3" max="3" width="21.63"/>
    <col customWidth="1" min="7" max="7" width="15.5"/>
    <col customWidth="1" min="8" max="8" width="17.0"/>
    <col customWidth="1" min="9" max="9" width="16.63"/>
    <col customWidth="1" min="10" max="10" width="14.75"/>
  </cols>
  <sheetData>
    <row r="1">
      <c r="A1" s="7" t="s">
        <v>479</v>
      </c>
      <c r="B1" s="243"/>
      <c r="C1" s="244"/>
      <c r="D1" s="244"/>
      <c r="E1" s="244"/>
      <c r="F1" s="244"/>
      <c r="G1" s="244"/>
      <c r="H1" s="72"/>
      <c r="I1" s="244"/>
      <c r="J1" s="244"/>
      <c r="K1" s="245"/>
      <c r="L1" s="35"/>
      <c r="M1" s="35"/>
    </row>
    <row r="2">
      <c r="A2" s="7" t="s">
        <v>480</v>
      </c>
      <c r="B2" s="243"/>
      <c r="C2" s="244"/>
      <c r="D2" s="244"/>
      <c r="E2" s="244"/>
      <c r="F2" s="244"/>
      <c r="G2" s="244"/>
      <c r="H2" s="244"/>
      <c r="I2" s="244"/>
      <c r="J2" s="244"/>
      <c r="K2" s="245"/>
      <c r="L2" s="35"/>
      <c r="M2" s="35"/>
    </row>
    <row r="3">
      <c r="A3" s="7" t="s">
        <v>481</v>
      </c>
      <c r="B3" s="243"/>
      <c r="C3" s="99" t="s">
        <v>17</v>
      </c>
      <c r="D3" s="246">
        <v>46057.0</v>
      </c>
      <c r="E3" s="101" t="s">
        <v>339</v>
      </c>
      <c r="F3" s="102">
        <v>46098.0</v>
      </c>
      <c r="G3" s="103" t="s">
        <v>340</v>
      </c>
      <c r="H3" s="103" t="s">
        <v>341</v>
      </c>
      <c r="I3" s="244"/>
      <c r="J3" s="244"/>
      <c r="K3" s="245"/>
      <c r="L3" s="35"/>
      <c r="M3" s="35"/>
    </row>
    <row r="4">
      <c r="A4" s="165" t="s">
        <v>342</v>
      </c>
      <c r="B4" s="166" t="s">
        <v>316</v>
      </c>
      <c r="C4" s="167" t="s">
        <v>343</v>
      </c>
      <c r="D4" s="167" t="s">
        <v>57</v>
      </c>
      <c r="E4" s="167" t="s">
        <v>344</v>
      </c>
      <c r="F4" s="167" t="s">
        <v>345</v>
      </c>
      <c r="G4" s="167" t="s">
        <v>346</v>
      </c>
      <c r="H4" s="167" t="s">
        <v>19</v>
      </c>
      <c r="I4" s="167" t="s">
        <v>347</v>
      </c>
      <c r="J4" s="167" t="s">
        <v>348</v>
      </c>
      <c r="K4" s="33" t="s">
        <v>349</v>
      </c>
      <c r="L4" s="34" t="s">
        <v>402</v>
      </c>
      <c r="M4" s="34" t="s">
        <v>350</v>
      </c>
    </row>
    <row r="5">
      <c r="A5" s="168">
        <v>1.0</v>
      </c>
      <c r="B5" s="204" t="s">
        <v>482</v>
      </c>
      <c r="C5" s="70">
        <v>2434.0</v>
      </c>
      <c r="D5" s="70">
        <v>1173.0</v>
      </c>
      <c r="E5" s="70">
        <v>1244.0</v>
      </c>
      <c r="F5" s="70">
        <v>620.0</v>
      </c>
      <c r="G5" s="205">
        <f t="shared" ref="G5:G20" si="1">F5/E5</f>
        <v>0.498392283</v>
      </c>
      <c r="H5" s="247">
        <v>0.014988425925925926</v>
      </c>
      <c r="I5" s="72">
        <v>0.008090277777777778</v>
      </c>
      <c r="J5" s="205">
        <f t="shared" ref="J5:J20" si="2">I5/H5</f>
        <v>0.5397683398</v>
      </c>
      <c r="K5" s="207" t="s">
        <v>319</v>
      </c>
      <c r="L5" s="74">
        <v>350.0</v>
      </c>
      <c r="M5" s="161"/>
    </row>
    <row r="6">
      <c r="A6" s="170">
        <v>2.0</v>
      </c>
      <c r="B6" s="204" t="s">
        <v>483</v>
      </c>
      <c r="C6" s="58">
        <v>1547.0</v>
      </c>
      <c r="D6" s="58">
        <v>871.0</v>
      </c>
      <c r="E6" s="248" t="s">
        <v>484</v>
      </c>
      <c r="F6" s="58">
        <v>456.0</v>
      </c>
      <c r="G6" s="205">
        <f t="shared" si="1"/>
        <v>0.6195652174</v>
      </c>
      <c r="H6" s="247">
        <v>0.016226851851851853</v>
      </c>
      <c r="I6" s="72">
        <v>0.010625</v>
      </c>
      <c r="J6" s="205">
        <f t="shared" si="2"/>
        <v>0.6547788873</v>
      </c>
      <c r="K6" s="207" t="s">
        <v>321</v>
      </c>
      <c r="L6" s="55">
        <v>350.0</v>
      </c>
      <c r="M6" s="38"/>
    </row>
    <row r="7">
      <c r="A7" s="249" t="s">
        <v>485</v>
      </c>
      <c r="B7" s="210" t="s">
        <v>486</v>
      </c>
      <c r="C7" s="81">
        <v>765.0</v>
      </c>
      <c r="D7" s="81">
        <v>459.0</v>
      </c>
      <c r="E7" s="81">
        <v>416.0</v>
      </c>
      <c r="F7" s="81">
        <v>254.0</v>
      </c>
      <c r="G7" s="250">
        <f t="shared" si="1"/>
        <v>0.6105769231</v>
      </c>
      <c r="H7" s="251">
        <v>0.015324074074074073</v>
      </c>
      <c r="I7" s="83">
        <v>0.012685185185185185</v>
      </c>
      <c r="J7" s="211">
        <f t="shared" si="2"/>
        <v>0.8277945619</v>
      </c>
      <c r="K7" s="213" t="s">
        <v>323</v>
      </c>
      <c r="L7" s="85">
        <v>600.0</v>
      </c>
      <c r="M7" s="214" t="s">
        <v>324</v>
      </c>
      <c r="N7" s="8" t="s">
        <v>487</v>
      </c>
      <c r="O7" s="145">
        <f>D7/400</f>
        <v>1.1475</v>
      </c>
    </row>
    <row r="8">
      <c r="A8" s="174">
        <v>4.0</v>
      </c>
      <c r="B8" s="215" t="s">
        <v>325</v>
      </c>
      <c r="C8" s="88">
        <v>130.0</v>
      </c>
      <c r="D8" s="88">
        <v>99.0</v>
      </c>
      <c r="E8" s="88">
        <v>138.0</v>
      </c>
      <c r="F8" s="88">
        <v>101.0</v>
      </c>
      <c r="G8" s="216">
        <f t="shared" si="1"/>
        <v>0.731884058</v>
      </c>
      <c r="H8" s="252">
        <v>0.009722222222222222</v>
      </c>
      <c r="I8" s="90">
        <v>0.00951388888888889</v>
      </c>
      <c r="J8" s="216">
        <f t="shared" si="2"/>
        <v>0.9785714286</v>
      </c>
      <c r="K8" s="218" t="s">
        <v>326</v>
      </c>
      <c r="L8" s="92"/>
      <c r="M8" s="175"/>
    </row>
    <row r="9">
      <c r="A9" s="168">
        <v>5.0</v>
      </c>
      <c r="B9" s="204" t="s">
        <v>488</v>
      </c>
      <c r="C9" s="70">
        <v>490.0</v>
      </c>
      <c r="D9" s="70">
        <v>328.0</v>
      </c>
      <c r="E9" s="70">
        <v>182.0</v>
      </c>
      <c r="F9" s="70">
        <v>104.0</v>
      </c>
      <c r="G9" s="205">
        <f t="shared" si="1"/>
        <v>0.5714285714</v>
      </c>
      <c r="H9" s="247">
        <v>0.014641203703703703</v>
      </c>
      <c r="I9" s="72">
        <v>0.013356481481481481</v>
      </c>
      <c r="J9" s="205">
        <f t="shared" si="2"/>
        <v>0.9122529644</v>
      </c>
      <c r="K9" s="207" t="s">
        <v>319</v>
      </c>
      <c r="L9" s="74">
        <v>350.0</v>
      </c>
      <c r="M9" s="161"/>
    </row>
    <row r="10">
      <c r="A10" s="168">
        <v>6.0</v>
      </c>
      <c r="B10" s="204" t="s">
        <v>489</v>
      </c>
      <c r="C10" s="70">
        <v>424.0</v>
      </c>
      <c r="D10" s="70">
        <v>315.0</v>
      </c>
      <c r="E10" s="70">
        <v>202.0</v>
      </c>
      <c r="F10" s="70">
        <v>142.0</v>
      </c>
      <c r="G10" s="205">
        <f t="shared" si="1"/>
        <v>0.702970297</v>
      </c>
      <c r="H10" s="247">
        <v>0.013518518518518518</v>
      </c>
      <c r="I10" s="72">
        <v>0.010115740740740741</v>
      </c>
      <c r="J10" s="205">
        <f t="shared" si="2"/>
        <v>0.7482876712</v>
      </c>
      <c r="K10" s="207" t="s">
        <v>321</v>
      </c>
      <c r="L10" s="74">
        <v>350.0</v>
      </c>
      <c r="M10" s="161"/>
    </row>
    <row r="11">
      <c r="A11" s="249" t="s">
        <v>490</v>
      </c>
      <c r="B11" s="210" t="s">
        <v>491</v>
      </c>
      <c r="C11" s="81">
        <v>413.0</v>
      </c>
      <c r="D11" s="81">
        <v>314.0</v>
      </c>
      <c r="E11" s="81">
        <v>165.0</v>
      </c>
      <c r="F11" s="81">
        <v>113.0</v>
      </c>
      <c r="G11" s="250">
        <f t="shared" si="1"/>
        <v>0.6848484848</v>
      </c>
      <c r="H11" s="251">
        <v>0.0121875</v>
      </c>
      <c r="I11" s="83">
        <v>0.009849537037037037</v>
      </c>
      <c r="J11" s="211">
        <f t="shared" si="2"/>
        <v>0.8081671415</v>
      </c>
      <c r="K11" s="213" t="s">
        <v>323</v>
      </c>
      <c r="L11" s="85">
        <v>600.0</v>
      </c>
      <c r="M11" s="214" t="s">
        <v>324</v>
      </c>
      <c r="N11" s="8" t="s">
        <v>492</v>
      </c>
      <c r="O11" s="145">
        <f>D11/400</f>
        <v>0.785</v>
      </c>
    </row>
    <row r="12">
      <c r="A12" s="174">
        <v>8.0</v>
      </c>
      <c r="B12" s="215" t="s">
        <v>325</v>
      </c>
      <c r="C12" s="88">
        <v>196.0</v>
      </c>
      <c r="D12" s="88">
        <v>138.0</v>
      </c>
      <c r="E12" s="88">
        <v>116.0</v>
      </c>
      <c r="F12" s="88">
        <v>80.0</v>
      </c>
      <c r="G12" s="216">
        <f t="shared" si="1"/>
        <v>0.6896551724</v>
      </c>
      <c r="H12" s="252">
        <v>0.015636574074074074</v>
      </c>
      <c r="I12" s="90">
        <v>0.011412037037037037</v>
      </c>
      <c r="J12" s="216">
        <f t="shared" si="2"/>
        <v>0.7298297557</v>
      </c>
      <c r="K12" s="218" t="s">
        <v>326</v>
      </c>
      <c r="L12" s="175"/>
      <c r="M12" s="175"/>
    </row>
    <row r="13">
      <c r="A13" s="168">
        <v>9.0</v>
      </c>
      <c r="B13" s="204" t="s">
        <v>493</v>
      </c>
      <c r="C13" s="70">
        <v>651.0</v>
      </c>
      <c r="D13" s="70">
        <v>457.0</v>
      </c>
      <c r="E13" s="70">
        <v>260.0</v>
      </c>
      <c r="F13" s="70">
        <v>159.0</v>
      </c>
      <c r="G13" s="205">
        <f t="shared" si="1"/>
        <v>0.6115384615</v>
      </c>
      <c r="H13" s="247">
        <v>0.014351851851851852</v>
      </c>
      <c r="I13" s="72">
        <v>0.011296296296296296</v>
      </c>
      <c r="J13" s="205">
        <f t="shared" si="2"/>
        <v>0.7870967742</v>
      </c>
      <c r="K13" s="207" t="s">
        <v>319</v>
      </c>
      <c r="L13" s="74">
        <v>350.0</v>
      </c>
      <c r="M13" s="161"/>
    </row>
    <row r="14">
      <c r="A14" s="168">
        <v>10.0</v>
      </c>
      <c r="B14" s="204" t="s">
        <v>494</v>
      </c>
      <c r="C14" s="70">
        <v>371.0</v>
      </c>
      <c r="D14" s="70">
        <v>296.0</v>
      </c>
      <c r="E14" s="70">
        <v>171.0</v>
      </c>
      <c r="F14" s="70">
        <v>126.0</v>
      </c>
      <c r="G14" s="205">
        <f t="shared" si="1"/>
        <v>0.7368421053</v>
      </c>
      <c r="H14" s="247">
        <v>0.013125</v>
      </c>
      <c r="I14" s="72">
        <v>0.010972222222222222</v>
      </c>
      <c r="J14" s="205">
        <f t="shared" si="2"/>
        <v>0.835978836</v>
      </c>
      <c r="K14" s="207" t="s">
        <v>321</v>
      </c>
      <c r="L14" s="74">
        <v>350.0</v>
      </c>
      <c r="M14" s="161"/>
    </row>
    <row r="15">
      <c r="A15" s="249" t="s">
        <v>495</v>
      </c>
      <c r="B15" s="210" t="s">
        <v>496</v>
      </c>
      <c r="C15" s="80">
        <v>384.0</v>
      </c>
      <c r="D15" s="81">
        <v>257.0</v>
      </c>
      <c r="E15" s="80">
        <v>312.0</v>
      </c>
      <c r="F15" s="80">
        <v>200.0</v>
      </c>
      <c r="G15" s="211">
        <f t="shared" si="1"/>
        <v>0.641025641</v>
      </c>
      <c r="H15" s="251">
        <v>0.014421296296296297</v>
      </c>
      <c r="I15" s="83">
        <v>0.009351851851851853</v>
      </c>
      <c r="J15" s="211">
        <f t="shared" si="2"/>
        <v>0.6484751204</v>
      </c>
      <c r="K15" s="213" t="s">
        <v>323</v>
      </c>
      <c r="L15" s="85">
        <v>600.0</v>
      </c>
      <c r="M15" s="214" t="s">
        <v>324</v>
      </c>
      <c r="N15" s="8" t="s">
        <v>497</v>
      </c>
      <c r="O15" s="145">
        <f>D15/400</f>
        <v>0.6425</v>
      </c>
    </row>
    <row r="16">
      <c r="A16" s="174">
        <v>12.0</v>
      </c>
      <c r="B16" s="87" t="s">
        <v>498</v>
      </c>
      <c r="C16" s="88">
        <v>166.0</v>
      </c>
      <c r="D16" s="88">
        <v>139.0</v>
      </c>
      <c r="E16" s="88">
        <v>108.0</v>
      </c>
      <c r="F16" s="88">
        <v>83.0</v>
      </c>
      <c r="G16" s="216">
        <f t="shared" si="1"/>
        <v>0.7685185185</v>
      </c>
      <c r="H16" s="252">
        <v>0.012708333333333334</v>
      </c>
      <c r="I16" s="90">
        <v>0.011828703703703704</v>
      </c>
      <c r="J16" s="216">
        <f t="shared" si="2"/>
        <v>0.9307832423</v>
      </c>
      <c r="K16" s="218" t="s">
        <v>326</v>
      </c>
      <c r="L16" s="175"/>
      <c r="M16" s="175"/>
    </row>
    <row r="17">
      <c r="A17" s="168">
        <v>13.0</v>
      </c>
      <c r="B17" s="204" t="s">
        <v>499</v>
      </c>
      <c r="C17" s="70">
        <v>227.0</v>
      </c>
      <c r="D17" s="70">
        <v>200.0</v>
      </c>
      <c r="E17" s="70">
        <v>105.0</v>
      </c>
      <c r="F17" s="70">
        <v>72.0</v>
      </c>
      <c r="G17" s="205">
        <f t="shared" si="1"/>
        <v>0.6857142857</v>
      </c>
      <c r="H17" s="247">
        <v>0.014212962962962964</v>
      </c>
      <c r="I17" s="72">
        <v>0.010578703703703703</v>
      </c>
      <c r="J17" s="205">
        <f t="shared" si="2"/>
        <v>0.7442996743</v>
      </c>
      <c r="K17" s="207" t="s">
        <v>319</v>
      </c>
      <c r="L17" s="74">
        <v>350.0</v>
      </c>
      <c r="M17" s="161"/>
    </row>
    <row r="18">
      <c r="A18" s="168">
        <v>14.0</v>
      </c>
      <c r="B18" s="204" t="s">
        <v>500</v>
      </c>
      <c r="C18" s="70">
        <v>230.0</v>
      </c>
      <c r="D18" s="70">
        <v>157.0</v>
      </c>
      <c r="E18" s="70">
        <v>107.0</v>
      </c>
      <c r="F18" s="70">
        <v>71.0</v>
      </c>
      <c r="G18" s="205">
        <f t="shared" si="1"/>
        <v>0.6635514019</v>
      </c>
      <c r="H18" s="247">
        <v>0.014618055555555556</v>
      </c>
      <c r="I18" s="72">
        <v>0.011099537037037036</v>
      </c>
      <c r="J18" s="205">
        <f t="shared" si="2"/>
        <v>0.7593032462</v>
      </c>
      <c r="K18" s="207" t="s">
        <v>321</v>
      </c>
      <c r="L18" s="74">
        <v>350.0</v>
      </c>
      <c r="M18" s="161"/>
    </row>
    <row r="19">
      <c r="A19" s="170">
        <v>15.0</v>
      </c>
      <c r="B19" s="204" t="s">
        <v>501</v>
      </c>
      <c r="C19" s="58">
        <v>271.0</v>
      </c>
      <c r="D19" s="58">
        <v>168.0</v>
      </c>
      <c r="E19" s="58">
        <v>120.0</v>
      </c>
      <c r="F19" s="58">
        <v>75.0</v>
      </c>
      <c r="G19" s="205">
        <f t="shared" si="1"/>
        <v>0.625</v>
      </c>
      <c r="H19" s="247">
        <v>0.01556712962962963</v>
      </c>
      <c r="I19" s="72">
        <v>0.013645833333333333</v>
      </c>
      <c r="J19" s="205">
        <f t="shared" si="2"/>
        <v>0.8765799257</v>
      </c>
      <c r="K19" s="47" t="s">
        <v>321</v>
      </c>
      <c r="L19" s="74">
        <v>350.0</v>
      </c>
      <c r="M19" s="41"/>
    </row>
    <row r="20">
      <c r="A20" s="174">
        <v>16.0</v>
      </c>
      <c r="B20" s="215" t="s">
        <v>325</v>
      </c>
      <c r="C20" s="88">
        <v>135.0</v>
      </c>
      <c r="D20" s="88">
        <v>103.0</v>
      </c>
      <c r="E20" s="88">
        <v>58.0</v>
      </c>
      <c r="F20" s="88">
        <v>45.0</v>
      </c>
      <c r="G20" s="216">
        <f t="shared" si="1"/>
        <v>0.775862069</v>
      </c>
      <c r="H20" s="252">
        <v>0.009386574074074073</v>
      </c>
      <c r="I20" s="90">
        <v>0.00787037037037037</v>
      </c>
      <c r="J20" s="216">
        <f t="shared" si="2"/>
        <v>0.8384710234</v>
      </c>
      <c r="K20" s="220" t="s">
        <v>326</v>
      </c>
      <c r="L20" s="175"/>
      <c r="M20" s="175"/>
    </row>
    <row r="21">
      <c r="A21" s="178"/>
      <c r="B21" s="179"/>
      <c r="C21" s="180">
        <v>2979.0</v>
      </c>
      <c r="D21" s="180">
        <v>1173.0</v>
      </c>
      <c r="E21" s="221"/>
      <c r="F21" s="221"/>
      <c r="G21" s="178"/>
      <c r="H21" s="178"/>
      <c r="I21" s="178"/>
      <c r="J21" s="178"/>
      <c r="K21" s="222" t="s">
        <v>364</v>
      </c>
      <c r="L21" s="182">
        <v>550.0</v>
      </c>
      <c r="M21" s="224">
        <v>1700.0</v>
      </c>
      <c r="N21" s="13">
        <f>D21/M21</f>
        <v>0.69</v>
      </c>
    </row>
    <row r="22">
      <c r="A22" s="75"/>
      <c r="B22" s="73"/>
      <c r="C22" s="75"/>
      <c r="D22" s="75"/>
      <c r="E22" s="75"/>
      <c r="F22" s="75"/>
      <c r="G22" s="75"/>
      <c r="H22" s="75"/>
      <c r="I22" s="75"/>
      <c r="J22" s="75"/>
      <c r="K22" s="253" t="s">
        <v>403</v>
      </c>
      <c r="L22" s="74">
        <f>SUM(L5:L21)</f>
        <v>5500</v>
      </c>
      <c r="M22" s="161"/>
    </row>
    <row r="23">
      <c r="A23" s="185" t="s">
        <v>365</v>
      </c>
      <c r="B23" s="185" t="s">
        <v>366</v>
      </c>
      <c r="C23" s="185" t="s">
        <v>367</v>
      </c>
      <c r="D23" s="185" t="s">
        <v>11</v>
      </c>
      <c r="E23" s="185" t="s">
        <v>19</v>
      </c>
      <c r="F23" s="185" t="s">
        <v>368</v>
      </c>
      <c r="G23" s="186" t="s">
        <v>369</v>
      </c>
      <c r="H23" s="187">
        <v>1616.0</v>
      </c>
      <c r="I23" s="188">
        <v>46057.0</v>
      </c>
      <c r="J23" s="75"/>
      <c r="K23" s="35"/>
      <c r="L23" s="208"/>
      <c r="M23" s="161"/>
    </row>
    <row r="24">
      <c r="A24" s="190">
        <v>2025.0</v>
      </c>
      <c r="B24" s="191" t="s">
        <v>502</v>
      </c>
      <c r="C24" s="191">
        <v>766.0</v>
      </c>
      <c r="D24" s="192">
        <v>0.3</v>
      </c>
      <c r="E24" s="191">
        <v>379.0</v>
      </c>
      <c r="F24" s="191">
        <v>152.0</v>
      </c>
      <c r="G24" s="7"/>
      <c r="H24" s="7"/>
      <c r="I24" s="7"/>
      <c r="J24" s="75"/>
      <c r="K24" s="35"/>
      <c r="L24" s="208"/>
      <c r="M24" s="161"/>
    </row>
    <row r="25">
      <c r="A25" s="193">
        <v>2024.0</v>
      </c>
      <c r="B25" s="194">
        <v>3685.0</v>
      </c>
      <c r="C25" s="194">
        <v>663.0</v>
      </c>
      <c r="D25" s="195">
        <f>C25/B25</f>
        <v>0.1799185889</v>
      </c>
      <c r="E25" s="194">
        <v>450.0</v>
      </c>
      <c r="F25" s="194">
        <v>152.0</v>
      </c>
      <c r="G25" s="7"/>
      <c r="H25" s="7"/>
      <c r="I25" s="7"/>
      <c r="J25" s="75"/>
      <c r="K25" s="35"/>
      <c r="L25" s="208"/>
      <c r="M25" s="161"/>
    </row>
    <row r="26">
      <c r="A26" s="75"/>
      <c r="B26" s="73"/>
      <c r="C26" s="75"/>
      <c r="D26" s="75"/>
      <c r="E26" s="75"/>
      <c r="F26" s="75"/>
      <c r="G26" s="75"/>
      <c r="H26" s="75"/>
      <c r="I26" s="75"/>
      <c r="J26" s="75"/>
      <c r="K26" s="35"/>
      <c r="L26" s="208"/>
      <c r="M26" s="161"/>
    </row>
    <row r="27">
      <c r="A27" s="75"/>
      <c r="B27" s="73"/>
      <c r="C27" s="75"/>
      <c r="D27" s="75"/>
      <c r="E27" s="75"/>
      <c r="F27" s="75"/>
      <c r="G27" s="75"/>
      <c r="H27" s="75"/>
      <c r="I27" s="75"/>
      <c r="J27" s="75"/>
      <c r="K27" s="35"/>
      <c r="L27" s="208"/>
      <c r="M27" s="161"/>
    </row>
    <row r="28">
      <c r="A28" s="75"/>
      <c r="B28" s="73"/>
      <c r="C28" s="75"/>
      <c r="D28" s="75"/>
      <c r="E28" s="75"/>
      <c r="F28" s="75"/>
      <c r="G28" s="75"/>
      <c r="H28" s="75"/>
      <c r="I28" s="75"/>
      <c r="J28" s="75"/>
      <c r="K28" s="35"/>
      <c r="L28" s="208"/>
      <c r="M28" s="161"/>
    </row>
    <row r="29">
      <c r="A29" s="75"/>
      <c r="B29" s="73"/>
      <c r="C29" s="75"/>
      <c r="D29" s="75"/>
      <c r="E29" s="75"/>
      <c r="F29" s="75"/>
      <c r="G29" s="75"/>
      <c r="H29" s="75"/>
      <c r="I29" s="75"/>
      <c r="J29" s="75"/>
      <c r="K29" s="35"/>
      <c r="L29" s="208"/>
      <c r="M29" s="161"/>
    </row>
    <row r="30">
      <c r="A30" s="75"/>
      <c r="B30" s="73"/>
      <c r="C30" s="75"/>
      <c r="D30" s="75"/>
      <c r="E30" s="75"/>
      <c r="F30" s="75"/>
      <c r="G30" s="75"/>
      <c r="H30" s="75"/>
      <c r="I30" s="75"/>
      <c r="J30" s="75"/>
      <c r="K30" s="35"/>
      <c r="L30" s="208"/>
      <c r="M30" s="161"/>
    </row>
    <row r="31">
      <c r="A31" s="75"/>
      <c r="B31" s="73"/>
      <c r="C31" s="75"/>
      <c r="D31" s="75"/>
      <c r="E31" s="75"/>
      <c r="F31" s="75"/>
      <c r="G31" s="75"/>
      <c r="H31" s="75"/>
      <c r="I31" s="75"/>
      <c r="J31" s="75"/>
      <c r="K31" s="35"/>
      <c r="L31" s="208"/>
      <c r="M31" s="161"/>
    </row>
    <row r="32">
      <c r="A32" s="75"/>
      <c r="B32" s="73"/>
      <c r="C32" s="75"/>
      <c r="D32" s="75"/>
      <c r="E32" s="75"/>
      <c r="F32" s="75"/>
      <c r="G32" s="75"/>
      <c r="H32" s="75"/>
      <c r="I32" s="75"/>
      <c r="J32" s="75"/>
      <c r="K32" s="35"/>
      <c r="L32" s="208"/>
      <c r="M32" s="161"/>
    </row>
    <row r="33">
      <c r="A33" s="75"/>
      <c r="B33" s="73"/>
      <c r="C33" s="75"/>
      <c r="D33" s="75"/>
      <c r="E33" s="75"/>
      <c r="F33" s="75"/>
      <c r="G33" s="75"/>
      <c r="H33" s="75"/>
      <c r="I33" s="75"/>
      <c r="J33" s="75"/>
      <c r="K33" s="35"/>
      <c r="L33" s="208"/>
      <c r="M33" s="161"/>
    </row>
    <row r="34">
      <c r="A34" s="75"/>
      <c r="B34" s="73"/>
      <c r="C34" s="75"/>
      <c r="D34" s="75"/>
      <c r="E34" s="75"/>
      <c r="F34" s="75"/>
      <c r="G34" s="75"/>
      <c r="H34" s="75"/>
      <c r="I34" s="75"/>
      <c r="J34" s="75"/>
      <c r="K34" s="35"/>
      <c r="L34" s="208"/>
      <c r="M34" s="161"/>
    </row>
    <row r="35">
      <c r="A35" s="75"/>
      <c r="B35" s="73"/>
      <c r="C35" s="75"/>
      <c r="D35" s="75"/>
      <c r="E35" s="75"/>
      <c r="F35" s="75"/>
      <c r="G35" s="75"/>
      <c r="H35" s="75"/>
      <c r="I35" s="75"/>
      <c r="J35" s="75"/>
      <c r="K35" s="35"/>
      <c r="L35" s="208"/>
      <c r="M35" s="161"/>
    </row>
    <row r="36">
      <c r="A36" s="75"/>
      <c r="B36" s="73"/>
      <c r="C36" s="75"/>
      <c r="D36" s="75"/>
      <c r="E36" s="75"/>
      <c r="F36" s="75"/>
      <c r="G36" s="75"/>
      <c r="H36" s="75"/>
      <c r="I36" s="75"/>
      <c r="J36" s="75"/>
      <c r="K36" s="35"/>
      <c r="L36" s="208"/>
      <c r="M36" s="161"/>
    </row>
    <row r="37">
      <c r="A37" s="75"/>
      <c r="B37" s="73"/>
      <c r="C37" s="75"/>
      <c r="D37" s="75"/>
      <c r="E37" s="75"/>
      <c r="F37" s="75"/>
      <c r="G37" s="75"/>
      <c r="H37" s="75"/>
      <c r="I37" s="75"/>
      <c r="J37" s="75"/>
      <c r="K37" s="35"/>
      <c r="L37" s="208"/>
      <c r="M37" s="161"/>
    </row>
    <row r="38">
      <c r="A38" s="8">
        <v>1.0</v>
      </c>
      <c r="B38" s="254" t="s">
        <v>503</v>
      </c>
      <c r="C38" s="142" t="s">
        <v>504</v>
      </c>
      <c r="D38" s="8">
        <v>2022.0</v>
      </c>
      <c r="G38" s="8">
        <v>988.0</v>
      </c>
      <c r="H38" s="242">
        <v>0.02378472222222222</v>
      </c>
      <c r="I38" s="8">
        <v>13199.0</v>
      </c>
      <c r="J38" s="8">
        <v>57.0</v>
      </c>
      <c r="K38" s="31">
        <f t="shared" ref="K38:K45" si="3">I38/G38</f>
        <v>13.35931174</v>
      </c>
      <c r="L38" s="198">
        <v>45657.0</v>
      </c>
    </row>
    <row r="39">
      <c r="A39" s="8">
        <v>2.0</v>
      </c>
      <c r="B39" s="254" t="s">
        <v>503</v>
      </c>
      <c r="C39" s="142" t="s">
        <v>505</v>
      </c>
      <c r="D39" s="8">
        <v>2022.0</v>
      </c>
      <c r="G39" s="8">
        <v>418.0</v>
      </c>
      <c r="H39" s="242">
        <v>0.020949074074074075</v>
      </c>
      <c r="I39" s="8">
        <v>7929.0</v>
      </c>
      <c r="J39" s="8">
        <v>59.0</v>
      </c>
      <c r="K39" s="31">
        <f t="shared" si="3"/>
        <v>18.96889952</v>
      </c>
      <c r="L39" s="198">
        <v>45657.0</v>
      </c>
    </row>
    <row r="40">
      <c r="A40" s="8">
        <v>3.0</v>
      </c>
      <c r="B40" s="254" t="s">
        <v>503</v>
      </c>
      <c r="C40" s="142" t="s">
        <v>506</v>
      </c>
      <c r="D40" s="8">
        <v>2022.0</v>
      </c>
      <c r="G40" s="8">
        <v>271.0</v>
      </c>
      <c r="H40" s="242">
        <v>0.021261574074074075</v>
      </c>
      <c r="I40" s="8">
        <v>5639.0</v>
      </c>
      <c r="J40" s="8">
        <v>44.0</v>
      </c>
      <c r="K40" s="31">
        <f t="shared" si="3"/>
        <v>20.80811808</v>
      </c>
      <c r="L40" s="198">
        <v>45657.0</v>
      </c>
    </row>
    <row r="41">
      <c r="A41" s="8">
        <v>4.0</v>
      </c>
      <c r="B41" s="254" t="s">
        <v>503</v>
      </c>
      <c r="C41" s="142" t="s">
        <v>507</v>
      </c>
      <c r="D41" s="8">
        <v>2022.0</v>
      </c>
      <c r="G41" s="8">
        <v>174.0</v>
      </c>
      <c r="H41" s="242">
        <v>0.01925925925925926</v>
      </c>
      <c r="I41" s="8">
        <v>3376.0</v>
      </c>
      <c r="J41" s="8">
        <v>38.0</v>
      </c>
      <c r="K41" s="31">
        <f t="shared" si="3"/>
        <v>19.40229885</v>
      </c>
      <c r="L41" s="198">
        <v>45657.0</v>
      </c>
    </row>
    <row r="42">
      <c r="A42" s="8">
        <v>5.0</v>
      </c>
      <c r="B42" s="254" t="s">
        <v>503</v>
      </c>
      <c r="C42" s="142" t="s">
        <v>508</v>
      </c>
      <c r="D42" s="8">
        <v>2022.0</v>
      </c>
      <c r="G42" s="8">
        <v>178.0</v>
      </c>
      <c r="H42" s="242">
        <v>0.017106481481481483</v>
      </c>
      <c r="I42" s="8">
        <v>2954.0</v>
      </c>
      <c r="J42" s="8">
        <v>39.0</v>
      </c>
      <c r="K42" s="31">
        <f t="shared" si="3"/>
        <v>16.59550562</v>
      </c>
      <c r="L42" s="198">
        <v>45657.0</v>
      </c>
    </row>
    <row r="43">
      <c r="A43" s="8">
        <v>6.0</v>
      </c>
      <c r="B43" s="254" t="s">
        <v>503</v>
      </c>
      <c r="C43" s="142" t="s">
        <v>509</v>
      </c>
      <c r="D43" s="8">
        <v>2022.0</v>
      </c>
      <c r="G43" s="8">
        <v>119.0</v>
      </c>
      <c r="H43" s="242">
        <v>0.020127314814814813</v>
      </c>
      <c r="I43" s="8">
        <v>1997.0</v>
      </c>
      <c r="J43" s="8">
        <v>37.0</v>
      </c>
      <c r="K43" s="31">
        <f t="shared" si="3"/>
        <v>16.78151261</v>
      </c>
      <c r="L43" s="198">
        <v>45657.0</v>
      </c>
    </row>
    <row r="44">
      <c r="A44" s="8">
        <v>7.0</v>
      </c>
      <c r="B44" s="254" t="s">
        <v>503</v>
      </c>
      <c r="C44" s="142" t="s">
        <v>510</v>
      </c>
      <c r="D44" s="8">
        <v>2022.0</v>
      </c>
      <c r="G44" s="8">
        <v>141.0</v>
      </c>
      <c r="H44" s="242">
        <v>0.018275462962962962</v>
      </c>
      <c r="I44" s="8">
        <v>2467.0</v>
      </c>
      <c r="J44" s="8">
        <v>41.0</v>
      </c>
      <c r="K44" s="31">
        <f t="shared" si="3"/>
        <v>17.4964539</v>
      </c>
      <c r="L44" s="198">
        <v>45657.0</v>
      </c>
    </row>
    <row r="45">
      <c r="A45" s="8">
        <v>8.0</v>
      </c>
      <c r="B45" s="254" t="s">
        <v>503</v>
      </c>
      <c r="C45" s="142" t="s">
        <v>511</v>
      </c>
      <c r="D45" s="8">
        <v>2022.0</v>
      </c>
      <c r="G45" s="8">
        <v>126.0</v>
      </c>
      <c r="H45" s="242">
        <v>0.02130787037037037</v>
      </c>
      <c r="I45" s="8">
        <v>2220.0</v>
      </c>
      <c r="J45" s="8">
        <v>43.0</v>
      </c>
      <c r="K45" s="31">
        <f t="shared" si="3"/>
        <v>17.61904762</v>
      </c>
      <c r="L45" s="198">
        <v>45657.0</v>
      </c>
    </row>
    <row r="46">
      <c r="B46" s="159"/>
    </row>
    <row r="47">
      <c r="A47" s="8"/>
      <c r="B47" s="26"/>
      <c r="C47" s="255"/>
      <c r="D47" s="198"/>
      <c r="E47" s="8"/>
      <c r="F47" s="8"/>
      <c r="G47" s="8"/>
      <c r="H47" s="242"/>
      <c r="I47" s="8"/>
      <c r="J47" s="8"/>
      <c r="K47" s="31"/>
      <c r="L47" s="18"/>
    </row>
    <row r="48">
      <c r="A48" s="8"/>
      <c r="B48" s="26"/>
      <c r="C48" s="255"/>
      <c r="D48" s="198"/>
      <c r="E48" s="8"/>
      <c r="F48" s="8"/>
      <c r="G48" s="8"/>
      <c r="H48" s="242"/>
      <c r="I48" s="8"/>
      <c r="J48" s="8"/>
      <c r="K48" s="31"/>
      <c r="L48" s="18"/>
    </row>
    <row r="49">
      <c r="A49" s="8"/>
      <c r="B49" s="26"/>
      <c r="C49" s="255"/>
      <c r="D49" s="198"/>
      <c r="E49" s="8"/>
      <c r="F49" s="8"/>
      <c r="G49" s="8"/>
      <c r="H49" s="242"/>
      <c r="I49" s="8"/>
      <c r="J49" s="8"/>
      <c r="K49" s="31"/>
      <c r="L49" s="18"/>
    </row>
    <row r="50">
      <c r="A50" s="8"/>
      <c r="B50" s="26"/>
      <c r="C50" s="255"/>
      <c r="D50" s="198"/>
      <c r="E50" s="8"/>
      <c r="F50" s="8"/>
      <c r="G50" s="8"/>
      <c r="H50" s="242"/>
      <c r="I50" s="8"/>
      <c r="J50" s="8"/>
      <c r="K50" s="31"/>
      <c r="L50" s="18"/>
    </row>
    <row r="51">
      <c r="A51" s="8"/>
      <c r="B51" s="26"/>
      <c r="C51" s="255"/>
      <c r="D51" s="198"/>
      <c r="E51" s="8"/>
      <c r="F51" s="8"/>
      <c r="G51" s="8"/>
      <c r="H51" s="242"/>
      <c r="I51" s="8"/>
      <c r="J51" s="8"/>
      <c r="K51" s="31"/>
      <c r="L51" s="18"/>
    </row>
    <row r="52">
      <c r="A52" s="8"/>
      <c r="B52" s="26"/>
      <c r="C52" s="255"/>
      <c r="D52" s="198"/>
      <c r="E52" s="8"/>
      <c r="F52" s="8"/>
      <c r="G52" s="8"/>
      <c r="H52" s="242"/>
      <c r="I52" s="8"/>
      <c r="J52" s="8"/>
      <c r="K52" s="31"/>
      <c r="L52" s="18"/>
    </row>
    <row r="53">
      <c r="A53" s="8"/>
      <c r="B53" s="26"/>
      <c r="C53" s="255"/>
      <c r="D53" s="198"/>
      <c r="E53" s="8"/>
      <c r="F53" s="8"/>
      <c r="G53" s="8"/>
      <c r="H53" s="242"/>
      <c r="I53" s="8"/>
      <c r="J53" s="8"/>
      <c r="K53" s="31"/>
      <c r="L53" s="18"/>
    </row>
    <row r="54">
      <c r="A54" s="8"/>
      <c r="B54" s="26"/>
      <c r="C54" s="255"/>
      <c r="D54" s="198"/>
      <c r="E54" s="8"/>
      <c r="F54" s="8"/>
      <c r="G54" s="8"/>
      <c r="H54" s="242"/>
      <c r="I54" s="8"/>
      <c r="J54" s="8"/>
      <c r="K54" s="31"/>
      <c r="L54" s="18"/>
    </row>
    <row r="55">
      <c r="A55" s="8"/>
      <c r="B55" s="26"/>
      <c r="C55" s="255"/>
      <c r="D55" s="198"/>
      <c r="E55" s="8"/>
      <c r="F55" s="8"/>
      <c r="G55" s="8"/>
      <c r="H55" s="242"/>
      <c r="I55" s="8"/>
      <c r="J55" s="8"/>
      <c r="K55" s="31"/>
      <c r="L55" s="18"/>
    </row>
    <row r="56">
      <c r="A56" s="8"/>
      <c r="B56" s="26"/>
      <c r="C56" s="255"/>
      <c r="D56" s="198"/>
      <c r="E56" s="8"/>
      <c r="F56" s="8"/>
      <c r="G56" s="8"/>
      <c r="H56" s="242"/>
      <c r="I56" s="8"/>
      <c r="J56" s="8"/>
      <c r="K56" s="31"/>
      <c r="L56" s="18"/>
    </row>
    <row r="57">
      <c r="A57" s="8"/>
      <c r="B57" s="26"/>
      <c r="C57" s="255"/>
      <c r="D57" s="198"/>
      <c r="E57" s="8"/>
      <c r="F57" s="8"/>
      <c r="G57" s="8"/>
      <c r="H57" s="242"/>
      <c r="I57" s="8"/>
      <c r="J57" s="8"/>
      <c r="K57" s="31"/>
      <c r="L57" s="18"/>
    </row>
    <row r="58">
      <c r="A58" s="8"/>
      <c r="B58" s="26"/>
      <c r="C58" s="255"/>
      <c r="D58" s="198"/>
      <c r="E58" s="8"/>
      <c r="F58" s="8"/>
      <c r="G58" s="8"/>
      <c r="H58" s="242"/>
      <c r="I58" s="8"/>
      <c r="J58" s="8"/>
      <c r="K58" s="31"/>
      <c r="L58" s="18"/>
    </row>
    <row r="59">
      <c r="A59" s="8"/>
      <c r="B59" s="26"/>
      <c r="C59" s="255"/>
      <c r="D59" s="198"/>
      <c r="E59" s="8"/>
      <c r="F59" s="8"/>
      <c r="G59" s="8"/>
      <c r="H59" s="242"/>
      <c r="I59" s="8"/>
      <c r="J59" s="8"/>
      <c r="K59" s="31"/>
      <c r="L59" s="18"/>
    </row>
    <row r="60">
      <c r="A60" s="11" t="s">
        <v>342</v>
      </c>
      <c r="B60" s="19" t="s">
        <v>512</v>
      </c>
      <c r="C60" s="11" t="s">
        <v>316</v>
      </c>
      <c r="D60" s="11" t="s">
        <v>405</v>
      </c>
      <c r="E60" s="11" t="s">
        <v>343</v>
      </c>
      <c r="F60" s="11" t="s">
        <v>406</v>
      </c>
      <c r="G60" s="11" t="s">
        <v>466</v>
      </c>
      <c r="H60" s="11" t="s">
        <v>467</v>
      </c>
      <c r="I60" s="11" t="s">
        <v>468</v>
      </c>
      <c r="J60" s="11" t="s">
        <v>347</v>
      </c>
      <c r="K60" s="11" t="s">
        <v>469</v>
      </c>
      <c r="L60" s="11" t="s">
        <v>17</v>
      </c>
      <c r="M60" s="11" t="s">
        <v>349</v>
      </c>
    </row>
    <row r="61">
      <c r="A61" s="8">
        <v>1.0</v>
      </c>
      <c r="B61" s="26" t="s">
        <v>513</v>
      </c>
      <c r="C61" s="142" t="s">
        <v>514</v>
      </c>
      <c r="D61" s="198">
        <v>45271.0</v>
      </c>
      <c r="E61" s="8"/>
      <c r="F61" s="8"/>
      <c r="G61" s="8">
        <v>711.0</v>
      </c>
      <c r="H61" s="242">
        <v>0.015046296296296295</v>
      </c>
      <c r="I61" s="8">
        <v>6630.0</v>
      </c>
      <c r="J61" s="8">
        <v>25.0</v>
      </c>
      <c r="K61" s="31">
        <f t="shared" ref="K61:K86" si="4">I61/G61</f>
        <v>9.324894515</v>
      </c>
      <c r="L61" s="18">
        <v>45439.0</v>
      </c>
    </row>
    <row r="62">
      <c r="A62" s="8">
        <v>2.0</v>
      </c>
      <c r="B62" s="26" t="s">
        <v>513</v>
      </c>
      <c r="C62" s="142" t="s">
        <v>515</v>
      </c>
      <c r="D62" s="198">
        <v>45271.0</v>
      </c>
      <c r="E62" s="8"/>
      <c r="F62" s="8"/>
      <c r="G62" s="8">
        <v>231.0</v>
      </c>
      <c r="H62" s="242">
        <v>0.014965277777777777</v>
      </c>
      <c r="I62" s="8">
        <v>3375.0</v>
      </c>
      <c r="J62" s="8">
        <v>25.0</v>
      </c>
      <c r="K62" s="31">
        <f t="shared" si="4"/>
        <v>14.61038961</v>
      </c>
      <c r="L62" s="18">
        <v>45439.0</v>
      </c>
    </row>
    <row r="63">
      <c r="A63" s="8">
        <v>3.0</v>
      </c>
      <c r="B63" s="26" t="s">
        <v>513</v>
      </c>
      <c r="C63" s="142" t="s">
        <v>516</v>
      </c>
      <c r="D63" s="198">
        <v>45271.0</v>
      </c>
      <c r="E63" s="256"/>
      <c r="F63" s="256"/>
      <c r="G63" s="256">
        <v>226.0</v>
      </c>
      <c r="H63" s="242">
        <v>0.015092592592592593</v>
      </c>
      <c r="I63" s="8">
        <v>3125.0</v>
      </c>
      <c r="J63" s="8">
        <v>32.0</v>
      </c>
      <c r="K63" s="31">
        <f t="shared" si="4"/>
        <v>13.82743363</v>
      </c>
      <c r="L63" s="18">
        <v>45439.0</v>
      </c>
    </row>
    <row r="64">
      <c r="A64" s="8">
        <v>4.0</v>
      </c>
      <c r="B64" s="26" t="s">
        <v>513</v>
      </c>
      <c r="C64" s="142" t="s">
        <v>517</v>
      </c>
      <c r="D64" s="198">
        <v>45271.0</v>
      </c>
      <c r="E64" s="256"/>
      <c r="F64" s="256"/>
      <c r="G64" s="256">
        <v>103.0</v>
      </c>
      <c r="H64" s="242">
        <v>0.007210648148148148</v>
      </c>
      <c r="I64" s="8">
        <v>1108.0</v>
      </c>
      <c r="J64" s="8">
        <v>29.0</v>
      </c>
      <c r="K64" s="31">
        <f t="shared" si="4"/>
        <v>10.75728155</v>
      </c>
      <c r="L64" s="18">
        <v>45439.0</v>
      </c>
    </row>
    <row r="65">
      <c r="A65" s="8">
        <v>5.0</v>
      </c>
      <c r="B65" s="26" t="s">
        <v>513</v>
      </c>
      <c r="C65" s="142" t="s">
        <v>518</v>
      </c>
      <c r="D65" s="198">
        <v>45271.0</v>
      </c>
      <c r="E65" s="256"/>
      <c r="F65" s="256"/>
      <c r="G65" s="256">
        <v>150.0</v>
      </c>
      <c r="H65" s="242">
        <v>0.007210648148148148</v>
      </c>
      <c r="I65" s="8">
        <v>2685.0</v>
      </c>
      <c r="J65" s="8">
        <v>33.0</v>
      </c>
      <c r="K65" s="31">
        <f t="shared" si="4"/>
        <v>17.9</v>
      </c>
      <c r="L65" s="18">
        <v>45439.0</v>
      </c>
    </row>
    <row r="66">
      <c r="A66" s="8">
        <v>6.0</v>
      </c>
      <c r="B66" s="26" t="s">
        <v>513</v>
      </c>
      <c r="C66" s="142" t="s">
        <v>519</v>
      </c>
      <c r="D66" s="198">
        <v>45271.0</v>
      </c>
      <c r="E66" s="256"/>
      <c r="F66" s="256"/>
      <c r="G66" s="256">
        <v>179.0</v>
      </c>
      <c r="H66" s="242">
        <v>0.021574074074074075</v>
      </c>
      <c r="I66" s="8">
        <v>2845.0</v>
      </c>
      <c r="J66" s="8">
        <v>39.0</v>
      </c>
      <c r="K66" s="31">
        <f t="shared" si="4"/>
        <v>15.89385475</v>
      </c>
      <c r="L66" s="18">
        <v>45439.0</v>
      </c>
    </row>
    <row r="67">
      <c r="A67" s="8">
        <v>7.0</v>
      </c>
      <c r="B67" s="26" t="s">
        <v>513</v>
      </c>
      <c r="C67" s="142" t="s">
        <v>520</v>
      </c>
      <c r="D67" s="198">
        <v>45271.0</v>
      </c>
      <c r="E67" s="256"/>
      <c r="F67" s="256"/>
      <c r="G67" s="256">
        <v>67.0</v>
      </c>
      <c r="H67" s="242">
        <v>0.005625</v>
      </c>
      <c r="I67" s="8">
        <v>452.0</v>
      </c>
      <c r="J67" s="8">
        <v>8.0</v>
      </c>
      <c r="K67" s="31">
        <f t="shared" si="4"/>
        <v>6.746268657</v>
      </c>
      <c r="L67" s="18">
        <v>45439.0</v>
      </c>
    </row>
    <row r="68">
      <c r="A68" s="8">
        <v>8.0</v>
      </c>
      <c r="B68" s="26" t="s">
        <v>513</v>
      </c>
      <c r="C68" s="142" t="s">
        <v>521</v>
      </c>
      <c r="D68" s="198">
        <v>45271.0</v>
      </c>
      <c r="E68" s="256"/>
      <c r="F68" s="256"/>
      <c r="G68" s="256">
        <v>157.0</v>
      </c>
      <c r="H68" s="242">
        <v>0.013622685185185186</v>
      </c>
      <c r="I68" s="8">
        <v>1998.0</v>
      </c>
      <c r="J68" s="8">
        <v>20.0</v>
      </c>
      <c r="K68" s="31">
        <f t="shared" si="4"/>
        <v>12.72611465</v>
      </c>
      <c r="L68" s="18">
        <v>45439.0</v>
      </c>
    </row>
    <row r="69">
      <c r="A69" s="8">
        <v>9.0</v>
      </c>
      <c r="B69" s="26" t="s">
        <v>513</v>
      </c>
      <c r="C69" s="142" t="s">
        <v>522</v>
      </c>
      <c r="D69" s="198">
        <v>45271.0</v>
      </c>
      <c r="E69" s="256"/>
      <c r="F69" s="256"/>
      <c r="G69" s="256">
        <v>214.0</v>
      </c>
      <c r="H69" s="242">
        <v>0.015405092592592592</v>
      </c>
      <c r="I69" s="8">
        <v>2388.0</v>
      </c>
      <c r="J69" s="8">
        <v>25.0</v>
      </c>
      <c r="K69" s="31">
        <f t="shared" si="4"/>
        <v>11.1588785</v>
      </c>
      <c r="L69" s="18">
        <v>45439.0</v>
      </c>
    </row>
    <row r="70">
      <c r="A70" s="8">
        <v>10.0</v>
      </c>
      <c r="B70" s="26" t="s">
        <v>513</v>
      </c>
      <c r="C70" s="142" t="s">
        <v>523</v>
      </c>
      <c r="D70" s="198">
        <v>45271.0</v>
      </c>
      <c r="E70" s="256"/>
      <c r="F70" s="256"/>
      <c r="G70" s="256">
        <v>55.0</v>
      </c>
      <c r="H70" s="242">
        <v>0.007916666666666667</v>
      </c>
      <c r="I70" s="8">
        <v>610.0</v>
      </c>
      <c r="J70" s="8">
        <v>12.0</v>
      </c>
      <c r="K70" s="31">
        <f t="shared" si="4"/>
        <v>11.09090909</v>
      </c>
      <c r="L70" s="18">
        <v>45439.0</v>
      </c>
    </row>
    <row r="71">
      <c r="A71" s="8">
        <v>11.0</v>
      </c>
      <c r="B71" s="26" t="s">
        <v>513</v>
      </c>
      <c r="C71" s="142" t="s">
        <v>524</v>
      </c>
      <c r="D71" s="198">
        <v>45271.0</v>
      </c>
      <c r="E71" s="256"/>
      <c r="F71" s="256"/>
      <c r="G71" s="256">
        <v>113.0</v>
      </c>
      <c r="H71" s="242">
        <v>0.017094907407407406</v>
      </c>
      <c r="I71" s="8">
        <v>1617.0</v>
      </c>
      <c r="J71" s="8">
        <v>26.0</v>
      </c>
      <c r="K71" s="31">
        <f t="shared" si="4"/>
        <v>14.30973451</v>
      </c>
      <c r="L71" s="18">
        <v>45439.0</v>
      </c>
    </row>
    <row r="72">
      <c r="A72" s="8">
        <v>12.0</v>
      </c>
      <c r="B72" s="26" t="s">
        <v>513</v>
      </c>
      <c r="C72" s="142" t="s">
        <v>525</v>
      </c>
      <c r="D72" s="198">
        <v>45271.0</v>
      </c>
      <c r="E72" s="8"/>
      <c r="F72" s="8"/>
      <c r="G72" s="8">
        <v>74.0</v>
      </c>
      <c r="H72" s="242">
        <v>0.014409722222222223</v>
      </c>
      <c r="I72" s="8">
        <v>762.0</v>
      </c>
      <c r="J72" s="8">
        <v>21.0</v>
      </c>
      <c r="K72" s="31">
        <f t="shared" si="4"/>
        <v>10.2972973</v>
      </c>
      <c r="L72" s="18">
        <v>45439.0</v>
      </c>
    </row>
    <row r="73">
      <c r="A73" s="8">
        <v>13.0</v>
      </c>
      <c r="B73" s="26" t="s">
        <v>513</v>
      </c>
      <c r="C73" s="142" t="s">
        <v>526</v>
      </c>
      <c r="D73" s="198">
        <v>45271.0</v>
      </c>
      <c r="E73" s="8"/>
      <c r="F73" s="8"/>
      <c r="G73" s="8">
        <v>152.0</v>
      </c>
      <c r="H73" s="242">
        <v>0.015300925925925926</v>
      </c>
      <c r="I73" s="8">
        <v>1650.0</v>
      </c>
      <c r="J73" s="8">
        <v>26.0</v>
      </c>
      <c r="K73" s="31">
        <f t="shared" si="4"/>
        <v>10.85526316</v>
      </c>
      <c r="L73" s="18">
        <v>45439.0</v>
      </c>
    </row>
    <row r="74">
      <c r="A74" s="8">
        <v>14.0</v>
      </c>
      <c r="B74" s="26" t="s">
        <v>513</v>
      </c>
      <c r="C74" s="142" t="s">
        <v>527</v>
      </c>
      <c r="D74" s="198">
        <v>45271.0</v>
      </c>
      <c r="E74" s="8"/>
      <c r="F74" s="8"/>
      <c r="G74" s="8">
        <v>54.0</v>
      </c>
      <c r="H74" s="242">
        <v>0.006504629629629629</v>
      </c>
      <c r="I74" s="8">
        <v>411.0</v>
      </c>
      <c r="J74" s="8">
        <v>9.0</v>
      </c>
      <c r="K74" s="31">
        <f t="shared" si="4"/>
        <v>7.611111111</v>
      </c>
      <c r="L74" s="18">
        <v>45439.0</v>
      </c>
    </row>
    <row r="75">
      <c r="A75" s="8">
        <v>15.0</v>
      </c>
      <c r="B75" s="26" t="s">
        <v>513</v>
      </c>
      <c r="C75" s="142" t="s">
        <v>528</v>
      </c>
      <c r="D75" s="198">
        <v>45271.0</v>
      </c>
      <c r="E75" s="8"/>
      <c r="F75" s="8"/>
      <c r="G75" s="8">
        <v>118.0</v>
      </c>
      <c r="H75" s="242">
        <v>0.013541666666666667</v>
      </c>
      <c r="I75" s="8">
        <v>1209.0</v>
      </c>
      <c r="J75" s="8">
        <v>20.0</v>
      </c>
      <c r="K75" s="31">
        <f t="shared" si="4"/>
        <v>10.24576271</v>
      </c>
      <c r="L75" s="18">
        <v>45439.0</v>
      </c>
    </row>
    <row r="76">
      <c r="A76" s="8">
        <v>16.0</v>
      </c>
      <c r="B76" s="26" t="s">
        <v>513</v>
      </c>
      <c r="C76" s="142" t="s">
        <v>529</v>
      </c>
      <c r="D76" s="198">
        <v>45271.0</v>
      </c>
      <c r="E76" s="8"/>
      <c r="F76" s="8"/>
      <c r="G76" s="8">
        <v>59.0</v>
      </c>
      <c r="H76" s="242">
        <v>0.017094907407407406</v>
      </c>
      <c r="I76" s="8">
        <v>752.0</v>
      </c>
      <c r="J76" s="8">
        <v>22.0</v>
      </c>
      <c r="K76" s="31">
        <f t="shared" si="4"/>
        <v>12.74576271</v>
      </c>
      <c r="L76" s="18">
        <v>45439.0</v>
      </c>
    </row>
    <row r="77">
      <c r="A77" s="8">
        <v>17.0</v>
      </c>
      <c r="B77" s="26" t="s">
        <v>513</v>
      </c>
      <c r="C77" s="142" t="s">
        <v>530</v>
      </c>
      <c r="D77" s="198">
        <v>45271.0</v>
      </c>
      <c r="E77" s="8"/>
      <c r="F77" s="8"/>
      <c r="G77" s="8">
        <v>78.0</v>
      </c>
      <c r="H77" s="242">
        <v>0.009155092592592593</v>
      </c>
      <c r="I77" s="8">
        <v>613.0</v>
      </c>
      <c r="J77" s="8">
        <v>13.0</v>
      </c>
      <c r="K77" s="31">
        <f t="shared" si="4"/>
        <v>7.858974359</v>
      </c>
      <c r="L77" s="18">
        <v>45439.0</v>
      </c>
    </row>
    <row r="78">
      <c r="A78" s="8">
        <v>18.0</v>
      </c>
      <c r="B78" s="26" t="s">
        <v>513</v>
      </c>
      <c r="C78" s="142" t="s">
        <v>531</v>
      </c>
      <c r="D78" s="198">
        <v>45271.0</v>
      </c>
      <c r="E78" s="8"/>
      <c r="F78" s="8"/>
      <c r="G78" s="8">
        <v>76.0</v>
      </c>
      <c r="H78" s="242">
        <v>0.011770833333333333</v>
      </c>
      <c r="I78" s="8">
        <v>818.0</v>
      </c>
      <c r="J78" s="8">
        <v>21.0</v>
      </c>
      <c r="K78" s="31">
        <f t="shared" si="4"/>
        <v>10.76315789</v>
      </c>
      <c r="L78" s="18">
        <v>45439.0</v>
      </c>
    </row>
    <row r="79">
      <c r="A79" s="8">
        <v>19.0</v>
      </c>
      <c r="B79" s="26" t="s">
        <v>513</v>
      </c>
      <c r="C79" s="142" t="s">
        <v>532</v>
      </c>
      <c r="D79" s="198">
        <v>45271.0</v>
      </c>
      <c r="E79" s="8"/>
      <c r="F79" s="8"/>
      <c r="G79" s="8">
        <v>99.0</v>
      </c>
      <c r="H79" s="242">
        <v>0.01800925925925926</v>
      </c>
      <c r="I79" s="8">
        <v>1089.0</v>
      </c>
      <c r="J79" s="8">
        <v>26.0</v>
      </c>
      <c r="K79" s="31">
        <f t="shared" si="4"/>
        <v>11</v>
      </c>
      <c r="L79" s="18">
        <v>45439.0</v>
      </c>
    </row>
    <row r="80">
      <c r="A80" s="8">
        <v>20.0</v>
      </c>
      <c r="B80" s="26" t="s">
        <v>513</v>
      </c>
      <c r="C80" s="142" t="s">
        <v>533</v>
      </c>
      <c r="D80" s="198">
        <v>45271.0</v>
      </c>
      <c r="E80" s="8"/>
      <c r="F80" s="8"/>
      <c r="G80" s="8">
        <v>31.0</v>
      </c>
      <c r="H80" s="242">
        <v>0.007847222222222222</v>
      </c>
      <c r="I80" s="8">
        <v>279.0</v>
      </c>
      <c r="J80" s="8">
        <v>11.0</v>
      </c>
      <c r="K80" s="31">
        <f t="shared" si="4"/>
        <v>9</v>
      </c>
      <c r="L80" s="18">
        <v>45439.0</v>
      </c>
    </row>
    <row r="81">
      <c r="A81" s="8">
        <v>21.0</v>
      </c>
      <c r="B81" s="26" t="s">
        <v>513</v>
      </c>
      <c r="C81" s="142" t="s">
        <v>534</v>
      </c>
      <c r="D81" s="198">
        <v>45271.0</v>
      </c>
      <c r="E81" s="8"/>
      <c r="F81" s="8"/>
      <c r="G81" s="8">
        <v>59.0</v>
      </c>
      <c r="H81" s="242">
        <v>0.01769675925925926</v>
      </c>
      <c r="I81" s="8">
        <v>786.0</v>
      </c>
      <c r="J81" s="8">
        <v>26.0</v>
      </c>
      <c r="K81" s="31">
        <f t="shared" si="4"/>
        <v>13.3220339</v>
      </c>
      <c r="L81" s="18">
        <v>45439.0</v>
      </c>
    </row>
    <row r="82">
      <c r="A82" s="8">
        <v>22.0</v>
      </c>
      <c r="B82" s="26" t="s">
        <v>513</v>
      </c>
      <c r="C82" s="142" t="s">
        <v>535</v>
      </c>
      <c r="D82" s="198">
        <v>45271.0</v>
      </c>
      <c r="E82" s="8"/>
      <c r="F82" s="8"/>
      <c r="G82" s="8">
        <v>33.0</v>
      </c>
      <c r="H82" s="242">
        <v>0.009525462962962963</v>
      </c>
      <c r="I82" s="8">
        <v>287.0</v>
      </c>
      <c r="J82" s="8">
        <v>13.0</v>
      </c>
      <c r="K82" s="31">
        <f t="shared" si="4"/>
        <v>8.696969697</v>
      </c>
      <c r="L82" s="18">
        <v>45439.0</v>
      </c>
    </row>
    <row r="83">
      <c r="A83" s="8">
        <v>23.0</v>
      </c>
      <c r="B83" s="26" t="s">
        <v>513</v>
      </c>
      <c r="C83" s="142" t="s">
        <v>536</v>
      </c>
      <c r="D83" s="198">
        <v>45271.0</v>
      </c>
      <c r="E83" s="8"/>
      <c r="F83" s="8"/>
      <c r="G83" s="8">
        <v>73.0</v>
      </c>
      <c r="H83" s="242">
        <v>0.01611111111111111</v>
      </c>
      <c r="I83" s="8">
        <v>865.0</v>
      </c>
      <c r="J83" s="8">
        <v>26.0</v>
      </c>
      <c r="K83" s="31">
        <f t="shared" si="4"/>
        <v>11.84931507</v>
      </c>
      <c r="L83" s="18">
        <v>45439.0</v>
      </c>
    </row>
    <row r="84">
      <c r="A84" s="8">
        <v>24.0</v>
      </c>
      <c r="B84" s="26" t="s">
        <v>513</v>
      </c>
      <c r="C84" s="142" t="s">
        <v>537</v>
      </c>
      <c r="D84" s="198">
        <v>45271.0</v>
      </c>
      <c r="E84" s="8"/>
      <c r="F84" s="8"/>
      <c r="G84" s="8">
        <v>49.0</v>
      </c>
      <c r="H84" s="242">
        <v>0.013148148148148148</v>
      </c>
      <c r="I84" s="8">
        <v>632.0</v>
      </c>
      <c r="J84" s="8">
        <v>22.0</v>
      </c>
      <c r="K84" s="31">
        <f t="shared" si="4"/>
        <v>12.89795918</v>
      </c>
      <c r="L84" s="18">
        <v>45439.0</v>
      </c>
    </row>
    <row r="85">
      <c r="A85" s="8">
        <v>25.0</v>
      </c>
      <c r="B85" s="26" t="s">
        <v>513</v>
      </c>
      <c r="C85" s="142" t="s">
        <v>538</v>
      </c>
      <c r="D85" s="198">
        <v>45271.0</v>
      </c>
      <c r="E85" s="8"/>
      <c r="F85" s="8"/>
      <c r="G85" s="8">
        <v>26.0</v>
      </c>
      <c r="H85" s="242">
        <v>0.007442129629629629</v>
      </c>
      <c r="I85" s="8">
        <v>206.0</v>
      </c>
      <c r="J85" s="8">
        <v>10.0</v>
      </c>
      <c r="K85" s="31">
        <f t="shared" si="4"/>
        <v>7.923076923</v>
      </c>
      <c r="L85" s="18">
        <v>45439.0</v>
      </c>
    </row>
    <row r="86">
      <c r="A86" s="8">
        <v>26.0</v>
      </c>
      <c r="B86" s="26" t="s">
        <v>513</v>
      </c>
      <c r="C86" s="142" t="s">
        <v>539</v>
      </c>
      <c r="D86" s="198">
        <v>45271.0</v>
      </c>
      <c r="E86" s="8"/>
      <c r="F86" s="8"/>
      <c r="G86" s="8">
        <v>38.0</v>
      </c>
      <c r="H86" s="242">
        <v>0.01707175925925926</v>
      </c>
      <c r="I86" s="8">
        <v>448.0</v>
      </c>
      <c r="J86" s="8">
        <v>23.0</v>
      </c>
      <c r="K86" s="31">
        <f t="shared" si="4"/>
        <v>11.78947368</v>
      </c>
      <c r="L86" s="18">
        <v>45439.0</v>
      </c>
    </row>
    <row r="87">
      <c r="B87" s="159"/>
      <c r="C87" s="8" t="s">
        <v>540</v>
      </c>
    </row>
    <row r="88">
      <c r="B88" s="159"/>
    </row>
    <row r="89">
      <c r="B89" s="159"/>
      <c r="E89" s="26"/>
      <c r="F89" s="26"/>
      <c r="G89" s="26"/>
      <c r="H89" s="26"/>
    </row>
    <row r="90">
      <c r="A90" s="8" t="s">
        <v>541</v>
      </c>
      <c r="B90" s="159"/>
    </row>
    <row r="91">
      <c r="B91" s="159"/>
    </row>
    <row r="92">
      <c r="B92" s="26"/>
    </row>
    <row r="93">
      <c r="B93" s="159"/>
    </row>
    <row r="94">
      <c r="B94" s="159"/>
    </row>
    <row r="95">
      <c r="B95" s="159"/>
    </row>
    <row r="96">
      <c r="B96" s="159"/>
    </row>
    <row r="97">
      <c r="B97" s="159"/>
    </row>
    <row r="98">
      <c r="B98" s="159"/>
    </row>
    <row r="99">
      <c r="B99" s="159"/>
    </row>
    <row r="100">
      <c r="B100" s="159"/>
    </row>
    <row r="101">
      <c r="B101" s="159"/>
    </row>
    <row r="102">
      <c r="B102" s="159"/>
    </row>
    <row r="103">
      <c r="B103" s="159"/>
    </row>
    <row r="104">
      <c r="B104" s="159"/>
    </row>
    <row r="105">
      <c r="B105" s="159"/>
    </row>
    <row r="106">
      <c r="B106" s="159"/>
    </row>
    <row r="107">
      <c r="B107" s="159"/>
    </row>
    <row r="108">
      <c r="B108" s="159"/>
    </row>
    <row r="109">
      <c r="B109" s="159"/>
    </row>
    <row r="110">
      <c r="B110" s="159"/>
    </row>
    <row r="111">
      <c r="B111" s="159"/>
    </row>
    <row r="112">
      <c r="B112" s="159"/>
    </row>
    <row r="113">
      <c r="B113" s="159"/>
    </row>
    <row r="114">
      <c r="B114" s="159"/>
    </row>
    <row r="115">
      <c r="B115" s="159"/>
    </row>
    <row r="116">
      <c r="B116" s="159"/>
    </row>
    <row r="117">
      <c r="B117" s="159"/>
    </row>
    <row r="118">
      <c r="B118" s="159"/>
    </row>
    <row r="119">
      <c r="B119" s="159"/>
    </row>
    <row r="120">
      <c r="B120" s="159"/>
    </row>
    <row r="121">
      <c r="B121" s="159"/>
    </row>
    <row r="122">
      <c r="B122" s="159"/>
    </row>
    <row r="123">
      <c r="B123" s="159"/>
    </row>
    <row r="124">
      <c r="B124" s="159"/>
    </row>
    <row r="125">
      <c r="B125" s="159"/>
    </row>
    <row r="126">
      <c r="B126" s="159"/>
    </row>
    <row r="127">
      <c r="B127" s="159"/>
    </row>
    <row r="128">
      <c r="B128" s="159"/>
    </row>
    <row r="129">
      <c r="B129" s="159"/>
    </row>
    <row r="130">
      <c r="B130" s="159"/>
    </row>
    <row r="131">
      <c r="B131" s="159"/>
    </row>
    <row r="132">
      <c r="B132" s="159"/>
    </row>
    <row r="133">
      <c r="B133" s="159"/>
    </row>
    <row r="134">
      <c r="B134" s="159"/>
    </row>
    <row r="135">
      <c r="B135" s="159"/>
    </row>
    <row r="136">
      <c r="B136" s="159"/>
    </row>
    <row r="137">
      <c r="B137" s="159"/>
    </row>
    <row r="138">
      <c r="B138" s="159"/>
    </row>
    <row r="139">
      <c r="B139" s="159"/>
    </row>
    <row r="140">
      <c r="B140" s="159"/>
    </row>
    <row r="141">
      <c r="B141" s="159"/>
    </row>
    <row r="142">
      <c r="B142" s="159"/>
    </row>
    <row r="143">
      <c r="B143" s="159"/>
    </row>
    <row r="144">
      <c r="B144" s="159"/>
    </row>
    <row r="145">
      <c r="B145" s="159"/>
    </row>
    <row r="146">
      <c r="B146" s="159"/>
    </row>
    <row r="147">
      <c r="B147" s="159"/>
    </row>
    <row r="148">
      <c r="B148" s="159"/>
    </row>
    <row r="149">
      <c r="B149" s="159"/>
    </row>
    <row r="150">
      <c r="B150" s="159"/>
    </row>
    <row r="151">
      <c r="B151" s="159"/>
    </row>
    <row r="152">
      <c r="B152" s="159"/>
    </row>
    <row r="153">
      <c r="B153" s="159"/>
    </row>
    <row r="154">
      <c r="B154" s="159"/>
    </row>
    <row r="155">
      <c r="B155" s="159"/>
    </row>
    <row r="156">
      <c r="B156" s="159"/>
    </row>
    <row r="157">
      <c r="B157" s="159"/>
    </row>
    <row r="158">
      <c r="B158" s="159"/>
    </row>
    <row r="159">
      <c r="B159" s="159"/>
    </row>
    <row r="160">
      <c r="B160" s="159"/>
    </row>
    <row r="161">
      <c r="B161" s="159"/>
    </row>
    <row r="162">
      <c r="B162" s="159"/>
    </row>
    <row r="163">
      <c r="B163" s="159"/>
    </row>
    <row r="164">
      <c r="B164" s="159"/>
    </row>
    <row r="165">
      <c r="B165" s="159"/>
    </row>
    <row r="166">
      <c r="B166" s="159"/>
    </row>
    <row r="167">
      <c r="B167" s="159"/>
    </row>
    <row r="168">
      <c r="B168" s="159"/>
    </row>
    <row r="169">
      <c r="B169" s="159"/>
    </row>
    <row r="170">
      <c r="B170" s="159"/>
    </row>
    <row r="171">
      <c r="B171" s="159"/>
    </row>
    <row r="172">
      <c r="B172" s="159"/>
    </row>
    <row r="173">
      <c r="B173" s="159"/>
    </row>
    <row r="174">
      <c r="B174" s="159"/>
    </row>
    <row r="175">
      <c r="B175" s="159"/>
    </row>
    <row r="176">
      <c r="B176" s="159"/>
    </row>
    <row r="177">
      <c r="B177" s="159"/>
    </row>
    <row r="178">
      <c r="B178" s="159"/>
    </row>
    <row r="179">
      <c r="B179" s="159"/>
    </row>
    <row r="180">
      <c r="B180" s="159"/>
    </row>
    <row r="181">
      <c r="B181" s="159"/>
    </row>
    <row r="182">
      <c r="B182" s="159"/>
    </row>
    <row r="183">
      <c r="B183" s="159"/>
    </row>
    <row r="184">
      <c r="B184" s="159"/>
    </row>
    <row r="185">
      <c r="B185" s="159"/>
    </row>
    <row r="186">
      <c r="B186" s="159"/>
    </row>
    <row r="187">
      <c r="B187" s="159"/>
    </row>
    <row r="188">
      <c r="B188" s="159"/>
    </row>
    <row r="189">
      <c r="B189" s="159"/>
    </row>
    <row r="190">
      <c r="B190" s="159"/>
    </row>
    <row r="191">
      <c r="B191" s="159"/>
    </row>
    <row r="192">
      <c r="B192" s="159"/>
    </row>
    <row r="193">
      <c r="B193" s="159"/>
    </row>
    <row r="194">
      <c r="B194" s="159"/>
    </row>
    <row r="195">
      <c r="B195" s="159"/>
    </row>
    <row r="196">
      <c r="B196" s="159"/>
    </row>
    <row r="197">
      <c r="B197" s="159"/>
    </row>
    <row r="198">
      <c r="B198" s="159"/>
    </row>
    <row r="199">
      <c r="B199" s="159"/>
    </row>
    <row r="200">
      <c r="B200" s="159"/>
    </row>
    <row r="201">
      <c r="B201" s="159"/>
    </row>
    <row r="202">
      <c r="B202" s="159"/>
    </row>
    <row r="203">
      <c r="B203" s="159"/>
    </row>
    <row r="204">
      <c r="B204" s="159"/>
    </row>
    <row r="205">
      <c r="B205" s="159"/>
    </row>
    <row r="206">
      <c r="B206" s="159"/>
    </row>
    <row r="207">
      <c r="B207" s="159"/>
    </row>
    <row r="208">
      <c r="B208" s="159"/>
    </row>
    <row r="209">
      <c r="B209" s="159"/>
    </row>
    <row r="210">
      <c r="B210" s="159"/>
    </row>
    <row r="211">
      <c r="B211" s="159"/>
    </row>
    <row r="212">
      <c r="B212" s="159"/>
    </row>
    <row r="213">
      <c r="B213" s="159"/>
    </row>
    <row r="214">
      <c r="B214" s="159"/>
    </row>
    <row r="215">
      <c r="B215" s="159"/>
    </row>
    <row r="216">
      <c r="B216" s="159"/>
    </row>
    <row r="217">
      <c r="B217" s="159"/>
    </row>
    <row r="218">
      <c r="B218" s="159"/>
    </row>
    <row r="219">
      <c r="B219" s="159"/>
    </row>
    <row r="220">
      <c r="B220" s="159"/>
    </row>
    <row r="221">
      <c r="B221" s="159"/>
    </row>
    <row r="222">
      <c r="B222" s="159"/>
    </row>
    <row r="223">
      <c r="B223" s="159"/>
    </row>
    <row r="224">
      <c r="B224" s="159"/>
    </row>
    <row r="225">
      <c r="B225" s="159"/>
    </row>
    <row r="226">
      <c r="B226" s="159"/>
    </row>
    <row r="227">
      <c r="B227" s="159"/>
    </row>
    <row r="228">
      <c r="B228" s="159"/>
    </row>
    <row r="229">
      <c r="B229" s="159"/>
    </row>
    <row r="230">
      <c r="B230" s="159"/>
    </row>
    <row r="231">
      <c r="B231" s="159"/>
    </row>
    <row r="232">
      <c r="B232" s="159"/>
    </row>
    <row r="233">
      <c r="B233" s="159"/>
    </row>
    <row r="234">
      <c r="B234" s="159"/>
    </row>
    <row r="235">
      <c r="B235" s="159"/>
    </row>
    <row r="236">
      <c r="B236" s="159"/>
    </row>
    <row r="237">
      <c r="B237" s="159"/>
    </row>
    <row r="238">
      <c r="B238" s="159"/>
    </row>
    <row r="239">
      <c r="B239" s="159"/>
    </row>
    <row r="240">
      <c r="B240" s="159"/>
    </row>
    <row r="241">
      <c r="B241" s="159"/>
    </row>
    <row r="242">
      <c r="B242" s="159"/>
    </row>
    <row r="243">
      <c r="B243" s="159"/>
    </row>
    <row r="244">
      <c r="B244" s="159"/>
    </row>
    <row r="245">
      <c r="B245" s="159"/>
    </row>
    <row r="246">
      <c r="B246" s="159"/>
    </row>
    <row r="247">
      <c r="B247" s="159"/>
    </row>
    <row r="248">
      <c r="B248" s="159"/>
    </row>
    <row r="249">
      <c r="B249" s="159"/>
    </row>
    <row r="250">
      <c r="B250" s="159"/>
    </row>
    <row r="251">
      <c r="B251" s="159"/>
    </row>
    <row r="252">
      <c r="B252" s="159"/>
    </row>
    <row r="253">
      <c r="B253" s="159"/>
    </row>
    <row r="254">
      <c r="B254" s="159"/>
    </row>
    <row r="255">
      <c r="B255" s="159"/>
    </row>
    <row r="256">
      <c r="B256" s="159"/>
    </row>
    <row r="257">
      <c r="B257" s="159"/>
    </row>
    <row r="258">
      <c r="B258" s="159"/>
    </row>
    <row r="259">
      <c r="B259" s="159"/>
    </row>
    <row r="260">
      <c r="B260" s="159"/>
    </row>
    <row r="261">
      <c r="B261" s="159"/>
    </row>
    <row r="262">
      <c r="B262" s="159"/>
    </row>
    <row r="263">
      <c r="B263" s="159"/>
    </row>
    <row r="264">
      <c r="B264" s="159"/>
    </row>
    <row r="265">
      <c r="B265" s="159"/>
    </row>
    <row r="266">
      <c r="B266" s="159"/>
    </row>
    <row r="267">
      <c r="B267" s="159"/>
    </row>
    <row r="268">
      <c r="B268" s="159"/>
    </row>
    <row r="269">
      <c r="B269" s="159"/>
    </row>
    <row r="270">
      <c r="B270" s="159"/>
    </row>
    <row r="271">
      <c r="B271" s="159"/>
    </row>
    <row r="272">
      <c r="B272" s="159"/>
    </row>
    <row r="273">
      <c r="B273" s="159"/>
    </row>
    <row r="274">
      <c r="B274" s="159"/>
    </row>
    <row r="275">
      <c r="B275" s="159"/>
    </row>
    <row r="276">
      <c r="B276" s="159"/>
    </row>
    <row r="277">
      <c r="B277" s="159"/>
    </row>
    <row r="278">
      <c r="B278" s="159"/>
    </row>
    <row r="279">
      <c r="B279" s="159"/>
    </row>
    <row r="280">
      <c r="B280" s="159"/>
    </row>
    <row r="281">
      <c r="B281" s="159"/>
    </row>
    <row r="282">
      <c r="B282" s="159"/>
    </row>
    <row r="283">
      <c r="B283" s="159"/>
    </row>
    <row r="284">
      <c r="B284" s="159"/>
    </row>
    <row r="285">
      <c r="B285" s="159"/>
    </row>
    <row r="286">
      <c r="B286" s="159"/>
    </row>
    <row r="287">
      <c r="B287" s="159"/>
    </row>
    <row r="288">
      <c r="B288" s="159"/>
    </row>
    <row r="289">
      <c r="B289" s="159"/>
    </row>
    <row r="290">
      <c r="B290" s="159"/>
    </row>
    <row r="291">
      <c r="B291" s="159"/>
    </row>
    <row r="292">
      <c r="B292" s="159"/>
    </row>
    <row r="293">
      <c r="B293" s="159"/>
    </row>
    <row r="294">
      <c r="B294" s="159"/>
    </row>
    <row r="295">
      <c r="B295" s="159"/>
    </row>
    <row r="296">
      <c r="B296" s="159"/>
    </row>
    <row r="297">
      <c r="B297" s="159"/>
    </row>
    <row r="298">
      <c r="B298" s="159"/>
    </row>
    <row r="299">
      <c r="B299" s="159"/>
    </row>
    <row r="300">
      <c r="B300" s="159"/>
    </row>
    <row r="301">
      <c r="B301" s="159"/>
    </row>
    <row r="302">
      <c r="B302" s="159"/>
    </row>
    <row r="303">
      <c r="B303" s="159"/>
    </row>
    <row r="304">
      <c r="B304" s="159"/>
    </row>
    <row r="305">
      <c r="B305" s="159"/>
    </row>
    <row r="306">
      <c r="B306" s="159"/>
    </row>
    <row r="307">
      <c r="B307" s="159"/>
    </row>
    <row r="308">
      <c r="B308" s="159"/>
    </row>
    <row r="309">
      <c r="B309" s="159"/>
    </row>
    <row r="310">
      <c r="B310" s="159"/>
    </row>
    <row r="311">
      <c r="B311" s="159"/>
    </row>
    <row r="312">
      <c r="B312" s="159"/>
    </row>
    <row r="313">
      <c r="B313" s="159"/>
    </row>
    <row r="314">
      <c r="B314" s="159"/>
    </row>
    <row r="315">
      <c r="B315" s="159"/>
    </row>
    <row r="316">
      <c r="B316" s="159"/>
    </row>
    <row r="317">
      <c r="B317" s="159"/>
    </row>
    <row r="318">
      <c r="B318" s="159"/>
    </row>
    <row r="319">
      <c r="B319" s="159"/>
    </row>
    <row r="320">
      <c r="B320" s="159"/>
    </row>
    <row r="321">
      <c r="B321" s="159"/>
    </row>
    <row r="322">
      <c r="B322" s="159"/>
    </row>
    <row r="323">
      <c r="B323" s="159"/>
    </row>
    <row r="324">
      <c r="B324" s="159"/>
    </row>
    <row r="325">
      <c r="B325" s="159"/>
    </row>
    <row r="326">
      <c r="B326" s="159"/>
    </row>
    <row r="327">
      <c r="B327" s="159"/>
    </row>
    <row r="328">
      <c r="B328" s="159"/>
    </row>
    <row r="329">
      <c r="B329" s="159"/>
    </row>
    <row r="330">
      <c r="B330" s="159"/>
    </row>
    <row r="331">
      <c r="B331" s="159"/>
    </row>
    <row r="332">
      <c r="B332" s="159"/>
    </row>
    <row r="333">
      <c r="B333" s="159"/>
    </row>
    <row r="334">
      <c r="B334" s="159"/>
    </row>
    <row r="335">
      <c r="B335" s="159"/>
    </row>
    <row r="336">
      <c r="B336" s="159"/>
    </row>
    <row r="337">
      <c r="B337" s="159"/>
    </row>
    <row r="338">
      <c r="B338" s="159"/>
    </row>
    <row r="339">
      <c r="B339" s="159"/>
    </row>
    <row r="340">
      <c r="B340" s="159"/>
    </row>
    <row r="341">
      <c r="B341" s="159"/>
    </row>
    <row r="342">
      <c r="B342" s="159"/>
    </row>
    <row r="343">
      <c r="B343" s="159"/>
    </row>
    <row r="344">
      <c r="B344" s="159"/>
    </row>
    <row r="345">
      <c r="B345" s="159"/>
    </row>
    <row r="346">
      <c r="B346" s="159"/>
    </row>
    <row r="347">
      <c r="B347" s="159"/>
    </row>
    <row r="348">
      <c r="B348" s="159"/>
    </row>
    <row r="349">
      <c r="B349" s="159"/>
    </row>
    <row r="350">
      <c r="B350" s="159"/>
    </row>
    <row r="351">
      <c r="B351" s="159"/>
    </row>
    <row r="352">
      <c r="B352" s="159"/>
    </row>
    <row r="353">
      <c r="B353" s="159"/>
    </row>
    <row r="354">
      <c r="B354" s="159"/>
    </row>
    <row r="355">
      <c r="B355" s="159"/>
    </row>
    <row r="356">
      <c r="B356" s="159"/>
    </row>
    <row r="357">
      <c r="B357" s="159"/>
    </row>
    <row r="358">
      <c r="B358" s="159"/>
    </row>
    <row r="359">
      <c r="B359" s="159"/>
    </row>
    <row r="360">
      <c r="B360" s="159"/>
    </row>
    <row r="361">
      <c r="B361" s="159"/>
    </row>
    <row r="362">
      <c r="B362" s="159"/>
    </row>
    <row r="363">
      <c r="B363" s="159"/>
    </row>
    <row r="364">
      <c r="B364" s="159"/>
    </row>
    <row r="365">
      <c r="B365" s="159"/>
    </row>
    <row r="366">
      <c r="B366" s="159"/>
    </row>
    <row r="367">
      <c r="B367" s="159"/>
    </row>
    <row r="368">
      <c r="B368" s="159"/>
    </row>
    <row r="369">
      <c r="B369" s="159"/>
    </row>
    <row r="370">
      <c r="B370" s="159"/>
    </row>
    <row r="371">
      <c r="B371" s="159"/>
    </row>
    <row r="372">
      <c r="B372" s="159"/>
    </row>
    <row r="373">
      <c r="B373" s="159"/>
    </row>
    <row r="374">
      <c r="B374" s="159"/>
    </row>
    <row r="375">
      <c r="B375" s="159"/>
    </row>
    <row r="376">
      <c r="B376" s="159"/>
    </row>
    <row r="377">
      <c r="B377" s="159"/>
    </row>
    <row r="378">
      <c r="B378" s="159"/>
    </row>
    <row r="379">
      <c r="B379" s="159"/>
    </row>
    <row r="380">
      <c r="B380" s="159"/>
    </row>
    <row r="381">
      <c r="B381" s="159"/>
    </row>
    <row r="382">
      <c r="B382" s="159"/>
    </row>
    <row r="383">
      <c r="B383" s="159"/>
    </row>
    <row r="384">
      <c r="B384" s="159"/>
    </row>
    <row r="385">
      <c r="B385" s="159"/>
    </row>
    <row r="386">
      <c r="B386" s="159"/>
    </row>
    <row r="387">
      <c r="B387" s="159"/>
    </row>
    <row r="388">
      <c r="B388" s="159"/>
    </row>
    <row r="389">
      <c r="B389" s="159"/>
    </row>
    <row r="390">
      <c r="B390" s="159"/>
    </row>
    <row r="391">
      <c r="B391" s="159"/>
    </row>
    <row r="392">
      <c r="B392" s="159"/>
    </row>
    <row r="393">
      <c r="B393" s="159"/>
    </row>
    <row r="394">
      <c r="B394" s="159"/>
    </row>
    <row r="395">
      <c r="B395" s="159"/>
    </row>
    <row r="396">
      <c r="B396" s="159"/>
    </row>
    <row r="397">
      <c r="B397" s="159"/>
    </row>
    <row r="398">
      <c r="B398" s="159"/>
    </row>
    <row r="399">
      <c r="B399" s="159"/>
    </row>
    <row r="400">
      <c r="B400" s="159"/>
    </row>
    <row r="401">
      <c r="B401" s="159"/>
    </row>
    <row r="402">
      <c r="B402" s="159"/>
    </row>
    <row r="403">
      <c r="B403" s="159"/>
    </row>
    <row r="404">
      <c r="B404" s="159"/>
    </row>
    <row r="405">
      <c r="B405" s="159"/>
    </row>
    <row r="406">
      <c r="B406" s="159"/>
    </row>
    <row r="407">
      <c r="B407" s="159"/>
    </row>
    <row r="408">
      <c r="B408" s="159"/>
    </row>
    <row r="409">
      <c r="B409" s="159"/>
    </row>
    <row r="410">
      <c r="B410" s="159"/>
    </row>
    <row r="411">
      <c r="B411" s="159"/>
    </row>
    <row r="412">
      <c r="B412" s="159"/>
    </row>
    <row r="413">
      <c r="B413" s="159"/>
    </row>
    <row r="414">
      <c r="B414" s="159"/>
    </row>
    <row r="415">
      <c r="B415" s="159"/>
    </row>
    <row r="416">
      <c r="B416" s="159"/>
    </row>
    <row r="417">
      <c r="B417" s="159"/>
    </row>
    <row r="418">
      <c r="B418" s="159"/>
    </row>
    <row r="419">
      <c r="B419" s="159"/>
    </row>
    <row r="420">
      <c r="B420" s="159"/>
    </row>
    <row r="421">
      <c r="B421" s="159"/>
    </row>
    <row r="422">
      <c r="B422" s="159"/>
    </row>
    <row r="423">
      <c r="B423" s="159"/>
    </row>
    <row r="424">
      <c r="B424" s="159"/>
    </row>
    <row r="425">
      <c r="B425" s="159"/>
    </row>
    <row r="426">
      <c r="B426" s="159"/>
    </row>
    <row r="427">
      <c r="B427" s="159"/>
    </row>
    <row r="428">
      <c r="B428" s="159"/>
    </row>
    <row r="429">
      <c r="B429" s="159"/>
    </row>
    <row r="430">
      <c r="B430" s="159"/>
    </row>
    <row r="431">
      <c r="B431" s="159"/>
    </row>
    <row r="432">
      <c r="B432" s="159"/>
    </row>
    <row r="433">
      <c r="B433" s="159"/>
    </row>
    <row r="434">
      <c r="B434" s="159"/>
    </row>
    <row r="435">
      <c r="B435" s="159"/>
    </row>
    <row r="436">
      <c r="B436" s="159"/>
    </row>
    <row r="437">
      <c r="B437" s="159"/>
    </row>
    <row r="438">
      <c r="B438" s="159"/>
    </row>
    <row r="439">
      <c r="B439" s="159"/>
    </row>
    <row r="440">
      <c r="B440" s="159"/>
    </row>
    <row r="441">
      <c r="B441" s="159"/>
    </row>
    <row r="442">
      <c r="B442" s="159"/>
    </row>
    <row r="443">
      <c r="B443" s="159"/>
    </row>
    <row r="444">
      <c r="B444" s="159"/>
    </row>
    <row r="445">
      <c r="B445" s="159"/>
    </row>
    <row r="446">
      <c r="B446" s="159"/>
    </row>
    <row r="447">
      <c r="B447" s="159"/>
    </row>
    <row r="448">
      <c r="B448" s="159"/>
    </row>
    <row r="449">
      <c r="B449" s="159"/>
    </row>
    <row r="450">
      <c r="B450" s="159"/>
    </row>
    <row r="451">
      <c r="B451" s="159"/>
    </row>
    <row r="452">
      <c r="B452" s="159"/>
    </row>
    <row r="453">
      <c r="B453" s="159"/>
    </row>
    <row r="454">
      <c r="B454" s="159"/>
    </row>
    <row r="455">
      <c r="B455" s="159"/>
    </row>
    <row r="456">
      <c r="B456" s="159"/>
    </row>
    <row r="457">
      <c r="B457" s="159"/>
    </row>
    <row r="458">
      <c r="B458" s="159"/>
    </row>
    <row r="459">
      <c r="B459" s="159"/>
    </row>
    <row r="460">
      <c r="B460" s="159"/>
    </row>
    <row r="461">
      <c r="B461" s="159"/>
    </row>
    <row r="462">
      <c r="B462" s="159"/>
    </row>
    <row r="463">
      <c r="B463" s="159"/>
    </row>
    <row r="464">
      <c r="B464" s="159"/>
    </row>
    <row r="465">
      <c r="B465" s="159"/>
    </row>
    <row r="466">
      <c r="B466" s="159"/>
    </row>
    <row r="467">
      <c r="B467" s="159"/>
    </row>
    <row r="468">
      <c r="B468" s="159"/>
    </row>
    <row r="469">
      <c r="B469" s="159"/>
    </row>
    <row r="470">
      <c r="B470" s="159"/>
    </row>
    <row r="471">
      <c r="B471" s="159"/>
    </row>
    <row r="472">
      <c r="B472" s="159"/>
    </row>
    <row r="473">
      <c r="B473" s="159"/>
    </row>
    <row r="474">
      <c r="B474" s="159"/>
    </row>
    <row r="475">
      <c r="B475" s="159"/>
    </row>
    <row r="476">
      <c r="B476" s="159"/>
    </row>
    <row r="477">
      <c r="B477" s="159"/>
    </row>
    <row r="478">
      <c r="B478" s="159"/>
    </row>
    <row r="479">
      <c r="B479" s="159"/>
    </row>
    <row r="480">
      <c r="B480" s="159"/>
    </row>
    <row r="481">
      <c r="B481" s="159"/>
    </row>
    <row r="482">
      <c r="B482" s="159"/>
    </row>
    <row r="483">
      <c r="B483" s="159"/>
    </row>
    <row r="484">
      <c r="B484" s="159"/>
    </row>
    <row r="485">
      <c r="B485" s="159"/>
    </row>
    <row r="486">
      <c r="B486" s="159"/>
    </row>
    <row r="487">
      <c r="B487" s="159"/>
    </row>
    <row r="488">
      <c r="B488" s="159"/>
    </row>
    <row r="489">
      <c r="B489" s="159"/>
    </row>
    <row r="490">
      <c r="B490" s="159"/>
    </row>
    <row r="491">
      <c r="B491" s="159"/>
    </row>
    <row r="492">
      <c r="B492" s="159"/>
    </row>
    <row r="493">
      <c r="B493" s="159"/>
    </row>
    <row r="494">
      <c r="B494" s="159"/>
    </row>
    <row r="495">
      <c r="B495" s="159"/>
    </row>
    <row r="496">
      <c r="B496" s="159"/>
    </row>
    <row r="497">
      <c r="B497" s="159"/>
    </row>
    <row r="498">
      <c r="B498" s="159"/>
    </row>
    <row r="499">
      <c r="B499" s="159"/>
    </row>
    <row r="500">
      <c r="B500" s="159"/>
    </row>
    <row r="501">
      <c r="B501" s="159"/>
    </row>
    <row r="502">
      <c r="B502" s="159"/>
    </row>
    <row r="503">
      <c r="B503" s="159"/>
    </row>
    <row r="504">
      <c r="B504" s="159"/>
    </row>
    <row r="505">
      <c r="B505" s="159"/>
    </row>
    <row r="506">
      <c r="B506" s="159"/>
    </row>
    <row r="507">
      <c r="B507" s="159"/>
    </row>
    <row r="508">
      <c r="B508" s="159"/>
    </row>
    <row r="509">
      <c r="B509" s="159"/>
    </row>
    <row r="510">
      <c r="B510" s="159"/>
    </row>
    <row r="511">
      <c r="B511" s="159"/>
    </row>
    <row r="512">
      <c r="B512" s="159"/>
    </row>
    <row r="513">
      <c r="B513" s="159"/>
    </row>
    <row r="514">
      <c r="B514" s="159"/>
    </row>
    <row r="515">
      <c r="B515" s="159"/>
    </row>
    <row r="516">
      <c r="B516" s="159"/>
    </row>
    <row r="517">
      <c r="B517" s="159"/>
    </row>
    <row r="518">
      <c r="B518" s="159"/>
    </row>
    <row r="519">
      <c r="B519" s="159"/>
    </row>
    <row r="520">
      <c r="B520" s="159"/>
    </row>
    <row r="521">
      <c r="B521" s="159"/>
    </row>
    <row r="522">
      <c r="B522" s="159"/>
    </row>
    <row r="523">
      <c r="B523" s="159"/>
    </row>
    <row r="524">
      <c r="B524" s="159"/>
    </row>
    <row r="525">
      <c r="B525" s="159"/>
    </row>
    <row r="526">
      <c r="B526" s="159"/>
    </row>
    <row r="527">
      <c r="B527" s="159"/>
    </row>
    <row r="528">
      <c r="B528" s="159"/>
    </row>
    <row r="529">
      <c r="B529" s="159"/>
    </row>
    <row r="530">
      <c r="B530" s="159"/>
    </row>
    <row r="531">
      <c r="B531" s="159"/>
    </row>
    <row r="532">
      <c r="B532" s="159"/>
    </row>
    <row r="533">
      <c r="B533" s="159"/>
    </row>
    <row r="534">
      <c r="B534" s="159"/>
    </row>
    <row r="535">
      <c r="B535" s="159"/>
    </row>
    <row r="536">
      <c r="B536" s="159"/>
    </row>
    <row r="537">
      <c r="B537" s="159"/>
    </row>
    <row r="538">
      <c r="B538" s="159"/>
    </row>
    <row r="539">
      <c r="B539" s="159"/>
    </row>
    <row r="540">
      <c r="B540" s="159"/>
    </row>
    <row r="541">
      <c r="B541" s="159"/>
    </row>
    <row r="542">
      <c r="B542" s="159"/>
    </row>
    <row r="543">
      <c r="B543" s="159"/>
    </row>
    <row r="544">
      <c r="B544" s="159"/>
    </row>
    <row r="545">
      <c r="B545" s="159"/>
    </row>
    <row r="546">
      <c r="B546" s="159"/>
    </row>
    <row r="547">
      <c r="B547" s="159"/>
    </row>
    <row r="548">
      <c r="B548" s="159"/>
    </row>
    <row r="549">
      <c r="B549" s="159"/>
    </row>
    <row r="550">
      <c r="B550" s="159"/>
    </row>
    <row r="551">
      <c r="B551" s="159"/>
    </row>
    <row r="552">
      <c r="B552" s="159"/>
    </row>
    <row r="553">
      <c r="B553" s="159"/>
    </row>
    <row r="554">
      <c r="B554" s="159"/>
    </row>
    <row r="555">
      <c r="B555" s="159"/>
    </row>
    <row r="556">
      <c r="B556" s="159"/>
    </row>
    <row r="557">
      <c r="B557" s="159"/>
    </row>
    <row r="558">
      <c r="B558" s="159"/>
    </row>
    <row r="559">
      <c r="B559" s="159"/>
    </row>
    <row r="560">
      <c r="B560" s="159"/>
    </row>
    <row r="561">
      <c r="B561" s="159"/>
    </row>
    <row r="562">
      <c r="B562" s="159"/>
    </row>
    <row r="563">
      <c r="B563" s="159"/>
    </row>
    <row r="564">
      <c r="B564" s="159"/>
    </row>
    <row r="565">
      <c r="B565" s="159"/>
    </row>
    <row r="566">
      <c r="B566" s="159"/>
    </row>
    <row r="567">
      <c r="B567" s="159"/>
    </row>
    <row r="568">
      <c r="B568" s="159"/>
    </row>
    <row r="569">
      <c r="B569" s="159"/>
    </row>
    <row r="570">
      <c r="B570" s="159"/>
    </row>
    <row r="571">
      <c r="B571" s="159"/>
    </row>
    <row r="572">
      <c r="B572" s="159"/>
    </row>
    <row r="573">
      <c r="B573" s="159"/>
    </row>
    <row r="574">
      <c r="B574" s="159"/>
    </row>
    <row r="575">
      <c r="B575" s="159"/>
    </row>
    <row r="576">
      <c r="B576" s="159"/>
    </row>
    <row r="577">
      <c r="B577" s="159"/>
    </row>
    <row r="578">
      <c r="B578" s="159"/>
    </row>
    <row r="579">
      <c r="B579" s="159"/>
    </row>
    <row r="580">
      <c r="B580" s="159"/>
    </row>
    <row r="581">
      <c r="B581" s="159"/>
    </row>
    <row r="582">
      <c r="B582" s="159"/>
    </row>
    <row r="583">
      <c r="B583" s="159"/>
    </row>
    <row r="584">
      <c r="B584" s="159"/>
    </row>
    <row r="585">
      <c r="B585" s="159"/>
    </row>
    <row r="586">
      <c r="B586" s="159"/>
    </row>
    <row r="587">
      <c r="B587" s="159"/>
    </row>
    <row r="588">
      <c r="B588" s="159"/>
    </row>
    <row r="589">
      <c r="B589" s="159"/>
    </row>
    <row r="590">
      <c r="B590" s="159"/>
    </row>
    <row r="591">
      <c r="B591" s="159"/>
    </row>
    <row r="592">
      <c r="B592" s="159"/>
    </row>
    <row r="593">
      <c r="B593" s="159"/>
    </row>
    <row r="594">
      <c r="B594" s="159"/>
    </row>
    <row r="595">
      <c r="B595" s="159"/>
    </row>
    <row r="596">
      <c r="B596" s="159"/>
    </row>
    <row r="597">
      <c r="B597" s="159"/>
    </row>
    <row r="598">
      <c r="B598" s="159"/>
    </row>
    <row r="599">
      <c r="B599" s="159"/>
    </row>
    <row r="600">
      <c r="B600" s="159"/>
    </row>
    <row r="601">
      <c r="B601" s="159"/>
    </row>
    <row r="602">
      <c r="B602" s="159"/>
    </row>
    <row r="603">
      <c r="B603" s="159"/>
    </row>
    <row r="604">
      <c r="B604" s="159"/>
    </row>
    <row r="605">
      <c r="B605" s="159"/>
    </row>
    <row r="606">
      <c r="B606" s="159"/>
    </row>
    <row r="607">
      <c r="B607" s="159"/>
    </row>
    <row r="608">
      <c r="B608" s="159"/>
    </row>
    <row r="609">
      <c r="B609" s="159"/>
    </row>
    <row r="610">
      <c r="B610" s="159"/>
    </row>
    <row r="611">
      <c r="B611" s="159"/>
    </row>
    <row r="612">
      <c r="B612" s="159"/>
    </row>
    <row r="613">
      <c r="B613" s="159"/>
    </row>
    <row r="614">
      <c r="B614" s="159"/>
    </row>
    <row r="615">
      <c r="B615" s="159"/>
    </row>
    <row r="616">
      <c r="B616" s="159"/>
    </row>
    <row r="617">
      <c r="B617" s="159"/>
    </row>
    <row r="618">
      <c r="B618" s="159"/>
    </row>
    <row r="619">
      <c r="B619" s="159"/>
    </row>
    <row r="620">
      <c r="B620" s="159"/>
    </row>
    <row r="621">
      <c r="B621" s="159"/>
    </row>
    <row r="622">
      <c r="B622" s="159"/>
    </row>
    <row r="623">
      <c r="B623" s="159"/>
    </row>
    <row r="624">
      <c r="B624" s="159"/>
    </row>
    <row r="625">
      <c r="B625" s="159"/>
    </row>
    <row r="626">
      <c r="B626" s="159"/>
    </row>
    <row r="627">
      <c r="B627" s="159"/>
    </row>
    <row r="628">
      <c r="B628" s="159"/>
    </row>
    <row r="629">
      <c r="B629" s="159"/>
    </row>
    <row r="630">
      <c r="B630" s="159"/>
    </row>
    <row r="631">
      <c r="B631" s="159"/>
    </row>
    <row r="632">
      <c r="B632" s="159"/>
    </row>
    <row r="633">
      <c r="B633" s="159"/>
    </row>
    <row r="634">
      <c r="B634" s="159"/>
    </row>
    <row r="635">
      <c r="B635" s="159"/>
    </row>
    <row r="636">
      <c r="B636" s="159"/>
    </row>
    <row r="637">
      <c r="B637" s="159"/>
    </row>
    <row r="638">
      <c r="B638" s="159"/>
    </row>
    <row r="639">
      <c r="B639" s="159"/>
    </row>
    <row r="640">
      <c r="B640" s="159"/>
    </row>
    <row r="641">
      <c r="B641" s="159"/>
    </row>
    <row r="642">
      <c r="B642" s="159"/>
    </row>
    <row r="643">
      <c r="B643" s="159"/>
    </row>
    <row r="644">
      <c r="B644" s="159"/>
    </row>
    <row r="645">
      <c r="B645" s="159"/>
    </row>
    <row r="646">
      <c r="B646" s="159"/>
    </row>
    <row r="647">
      <c r="B647" s="159"/>
    </row>
    <row r="648">
      <c r="B648" s="159"/>
    </row>
    <row r="649">
      <c r="B649" s="159"/>
    </row>
    <row r="650">
      <c r="B650" s="159"/>
    </row>
    <row r="651">
      <c r="B651" s="159"/>
    </row>
    <row r="652">
      <c r="B652" s="159"/>
    </row>
    <row r="653">
      <c r="B653" s="159"/>
    </row>
    <row r="654">
      <c r="B654" s="159"/>
    </row>
    <row r="655">
      <c r="B655" s="159"/>
    </row>
    <row r="656">
      <c r="B656" s="159"/>
    </row>
    <row r="657">
      <c r="B657" s="159"/>
    </row>
    <row r="658">
      <c r="B658" s="159"/>
    </row>
    <row r="659">
      <c r="B659" s="159"/>
    </row>
    <row r="660">
      <c r="B660" s="159"/>
    </row>
    <row r="661">
      <c r="B661" s="159"/>
    </row>
    <row r="662">
      <c r="B662" s="159"/>
    </row>
    <row r="663">
      <c r="B663" s="159"/>
    </row>
    <row r="664">
      <c r="B664" s="159"/>
    </row>
    <row r="665">
      <c r="B665" s="159"/>
    </row>
    <row r="666">
      <c r="B666" s="159"/>
    </row>
    <row r="667">
      <c r="B667" s="159"/>
    </row>
    <row r="668">
      <c r="B668" s="159"/>
    </row>
    <row r="669">
      <c r="B669" s="159"/>
    </row>
    <row r="670">
      <c r="B670" s="159"/>
    </row>
    <row r="671">
      <c r="B671" s="159"/>
    </row>
    <row r="672">
      <c r="B672" s="159"/>
    </row>
    <row r="673">
      <c r="B673" s="159"/>
    </row>
    <row r="674">
      <c r="B674" s="159"/>
    </row>
    <row r="675">
      <c r="B675" s="159"/>
    </row>
    <row r="676">
      <c r="B676" s="159"/>
    </row>
    <row r="677">
      <c r="B677" s="159"/>
    </row>
    <row r="678">
      <c r="B678" s="159"/>
    </row>
    <row r="679">
      <c r="B679" s="159"/>
    </row>
    <row r="680">
      <c r="B680" s="159"/>
    </row>
    <row r="681">
      <c r="B681" s="159"/>
    </row>
    <row r="682">
      <c r="B682" s="159"/>
    </row>
    <row r="683">
      <c r="B683" s="159"/>
    </row>
    <row r="684">
      <c r="B684" s="159"/>
    </row>
    <row r="685">
      <c r="B685" s="159"/>
    </row>
    <row r="686">
      <c r="B686" s="159"/>
    </row>
    <row r="687">
      <c r="B687" s="159"/>
    </row>
    <row r="688">
      <c r="B688" s="159"/>
    </row>
    <row r="689">
      <c r="B689" s="159"/>
    </row>
    <row r="690">
      <c r="B690" s="159"/>
    </row>
    <row r="691">
      <c r="B691" s="159"/>
    </row>
    <row r="692">
      <c r="B692" s="159"/>
    </row>
    <row r="693">
      <c r="B693" s="159"/>
    </row>
    <row r="694">
      <c r="B694" s="159"/>
    </row>
    <row r="695">
      <c r="B695" s="159"/>
    </row>
    <row r="696">
      <c r="B696" s="159"/>
    </row>
    <row r="697">
      <c r="B697" s="159"/>
    </row>
    <row r="698">
      <c r="B698" s="159"/>
    </row>
    <row r="699">
      <c r="B699" s="159"/>
    </row>
    <row r="700">
      <c r="B700" s="159"/>
    </row>
    <row r="701">
      <c r="B701" s="159"/>
    </row>
    <row r="702">
      <c r="B702" s="159"/>
    </row>
    <row r="703">
      <c r="B703" s="159"/>
    </row>
    <row r="704">
      <c r="B704" s="159"/>
    </row>
    <row r="705">
      <c r="B705" s="159"/>
    </row>
    <row r="706">
      <c r="B706" s="159"/>
    </row>
    <row r="707">
      <c r="B707" s="159"/>
    </row>
    <row r="708">
      <c r="B708" s="159"/>
    </row>
    <row r="709">
      <c r="B709" s="159"/>
    </row>
    <row r="710">
      <c r="B710" s="159"/>
    </row>
    <row r="711">
      <c r="B711" s="159"/>
    </row>
    <row r="712">
      <c r="B712" s="159"/>
    </row>
    <row r="713">
      <c r="B713" s="159"/>
    </row>
    <row r="714">
      <c r="B714" s="159"/>
    </row>
    <row r="715">
      <c r="B715" s="159"/>
    </row>
    <row r="716">
      <c r="B716" s="159"/>
    </row>
    <row r="717">
      <c r="B717" s="159"/>
    </row>
    <row r="718">
      <c r="B718" s="159"/>
    </row>
    <row r="719">
      <c r="B719" s="159"/>
    </row>
    <row r="720">
      <c r="B720" s="159"/>
    </row>
    <row r="721">
      <c r="B721" s="159"/>
    </row>
    <row r="722">
      <c r="B722" s="159"/>
    </row>
    <row r="723">
      <c r="B723" s="159"/>
    </row>
    <row r="724">
      <c r="B724" s="159"/>
    </row>
    <row r="725">
      <c r="B725" s="159"/>
    </row>
    <row r="726">
      <c r="B726" s="159"/>
    </row>
    <row r="727">
      <c r="B727" s="159"/>
    </row>
    <row r="728">
      <c r="B728" s="159"/>
    </row>
    <row r="729">
      <c r="B729" s="159"/>
    </row>
    <row r="730">
      <c r="B730" s="159"/>
    </row>
    <row r="731">
      <c r="B731" s="159"/>
    </row>
    <row r="732">
      <c r="B732" s="159"/>
    </row>
    <row r="733">
      <c r="B733" s="159"/>
    </row>
    <row r="734">
      <c r="B734" s="159"/>
    </row>
    <row r="735">
      <c r="B735" s="159"/>
    </row>
    <row r="736">
      <c r="B736" s="159"/>
    </row>
    <row r="737">
      <c r="B737" s="159"/>
    </row>
    <row r="738">
      <c r="B738" s="159"/>
    </row>
    <row r="739">
      <c r="B739" s="159"/>
    </row>
    <row r="740">
      <c r="B740" s="159"/>
    </row>
    <row r="741">
      <c r="B741" s="159"/>
    </row>
    <row r="742">
      <c r="B742" s="159"/>
    </row>
    <row r="743">
      <c r="B743" s="159"/>
    </row>
    <row r="744">
      <c r="B744" s="159"/>
    </row>
    <row r="745">
      <c r="B745" s="159"/>
    </row>
    <row r="746">
      <c r="B746" s="159"/>
    </row>
    <row r="747">
      <c r="B747" s="159"/>
    </row>
    <row r="748">
      <c r="B748" s="159"/>
    </row>
    <row r="749">
      <c r="B749" s="159"/>
    </row>
    <row r="750">
      <c r="B750" s="159"/>
    </row>
    <row r="751">
      <c r="B751" s="159"/>
    </row>
    <row r="752">
      <c r="B752" s="159"/>
    </row>
    <row r="753">
      <c r="B753" s="159"/>
    </row>
    <row r="754">
      <c r="B754" s="159"/>
    </row>
    <row r="755">
      <c r="B755" s="159"/>
    </row>
    <row r="756">
      <c r="B756" s="159"/>
    </row>
    <row r="757">
      <c r="B757" s="159"/>
    </row>
    <row r="758">
      <c r="B758" s="159"/>
    </row>
    <row r="759">
      <c r="B759" s="159"/>
    </row>
    <row r="760">
      <c r="B760" s="159"/>
    </row>
    <row r="761">
      <c r="B761" s="159"/>
    </row>
    <row r="762">
      <c r="B762" s="159"/>
    </row>
    <row r="763">
      <c r="B763" s="159"/>
    </row>
    <row r="764">
      <c r="B764" s="159"/>
    </row>
    <row r="765">
      <c r="B765" s="159"/>
    </row>
    <row r="766">
      <c r="B766" s="159"/>
    </row>
    <row r="767">
      <c r="B767" s="159"/>
    </row>
    <row r="768">
      <c r="B768" s="159"/>
    </row>
    <row r="769">
      <c r="B769" s="159"/>
    </row>
    <row r="770">
      <c r="B770" s="159"/>
    </row>
    <row r="771">
      <c r="B771" s="159"/>
    </row>
    <row r="772">
      <c r="B772" s="159"/>
    </row>
    <row r="773">
      <c r="B773" s="159"/>
    </row>
    <row r="774">
      <c r="B774" s="159"/>
    </row>
    <row r="775">
      <c r="B775" s="159"/>
    </row>
    <row r="776">
      <c r="B776" s="159"/>
    </row>
    <row r="777">
      <c r="B777" s="159"/>
    </row>
    <row r="778">
      <c r="B778" s="159"/>
    </row>
    <row r="779">
      <c r="B779" s="159"/>
    </row>
    <row r="780">
      <c r="B780" s="159"/>
    </row>
    <row r="781">
      <c r="B781" s="159"/>
    </row>
    <row r="782">
      <c r="B782" s="159"/>
    </row>
    <row r="783">
      <c r="B783" s="159"/>
    </row>
    <row r="784">
      <c r="B784" s="159"/>
    </row>
    <row r="785">
      <c r="B785" s="159"/>
    </row>
    <row r="786">
      <c r="B786" s="159"/>
    </row>
    <row r="787">
      <c r="B787" s="159"/>
    </row>
    <row r="788">
      <c r="B788" s="159"/>
    </row>
    <row r="789">
      <c r="B789" s="159"/>
    </row>
    <row r="790">
      <c r="B790" s="159"/>
    </row>
    <row r="791">
      <c r="B791" s="159"/>
    </row>
    <row r="792">
      <c r="B792" s="159"/>
    </row>
    <row r="793">
      <c r="B793" s="159"/>
    </row>
    <row r="794">
      <c r="B794" s="159"/>
    </row>
    <row r="795">
      <c r="B795" s="159"/>
    </row>
    <row r="796">
      <c r="B796" s="159"/>
    </row>
    <row r="797">
      <c r="B797" s="159"/>
    </row>
    <row r="798">
      <c r="B798" s="159"/>
    </row>
    <row r="799">
      <c r="B799" s="159"/>
    </row>
    <row r="800">
      <c r="B800" s="159"/>
    </row>
    <row r="801">
      <c r="B801" s="159"/>
    </row>
    <row r="802">
      <c r="B802" s="159"/>
    </row>
    <row r="803">
      <c r="B803" s="159"/>
    </row>
    <row r="804">
      <c r="B804" s="159"/>
    </row>
    <row r="805">
      <c r="B805" s="159"/>
    </row>
    <row r="806">
      <c r="B806" s="159"/>
    </row>
    <row r="807">
      <c r="B807" s="159"/>
    </row>
    <row r="808">
      <c r="B808" s="159"/>
    </row>
    <row r="809">
      <c r="B809" s="159"/>
    </row>
    <row r="810">
      <c r="B810" s="159"/>
    </row>
    <row r="811">
      <c r="B811" s="159"/>
    </row>
    <row r="812">
      <c r="B812" s="159"/>
    </row>
    <row r="813">
      <c r="B813" s="159"/>
    </row>
    <row r="814">
      <c r="B814" s="159"/>
    </row>
    <row r="815">
      <c r="B815" s="159"/>
    </row>
    <row r="816">
      <c r="B816" s="159"/>
    </row>
    <row r="817">
      <c r="B817" s="159"/>
    </row>
    <row r="818">
      <c r="B818" s="159"/>
    </row>
    <row r="819">
      <c r="B819" s="159"/>
    </row>
    <row r="820">
      <c r="B820" s="159"/>
    </row>
    <row r="821">
      <c r="B821" s="159"/>
    </row>
    <row r="822">
      <c r="B822" s="159"/>
    </row>
    <row r="823">
      <c r="B823" s="159"/>
    </row>
    <row r="824">
      <c r="B824" s="159"/>
    </row>
    <row r="825">
      <c r="B825" s="159"/>
    </row>
    <row r="826">
      <c r="B826" s="159"/>
    </row>
    <row r="827">
      <c r="B827" s="159"/>
    </row>
    <row r="828">
      <c r="B828" s="159"/>
    </row>
    <row r="829">
      <c r="B829" s="159"/>
    </row>
    <row r="830">
      <c r="B830" s="159"/>
    </row>
    <row r="831">
      <c r="B831" s="159"/>
    </row>
    <row r="832">
      <c r="B832" s="159"/>
    </row>
    <row r="833">
      <c r="B833" s="159"/>
    </row>
    <row r="834">
      <c r="B834" s="159"/>
    </row>
    <row r="835">
      <c r="B835" s="159"/>
    </row>
    <row r="836">
      <c r="B836" s="159"/>
    </row>
    <row r="837">
      <c r="B837" s="159"/>
    </row>
    <row r="838">
      <c r="B838" s="159"/>
    </row>
    <row r="839">
      <c r="B839" s="159"/>
    </row>
    <row r="840">
      <c r="B840" s="159"/>
    </row>
    <row r="841">
      <c r="B841" s="159"/>
    </row>
    <row r="842">
      <c r="B842" s="159"/>
    </row>
    <row r="843">
      <c r="B843" s="159"/>
    </row>
    <row r="844">
      <c r="B844" s="159"/>
    </row>
    <row r="845">
      <c r="B845" s="159"/>
    </row>
    <row r="846">
      <c r="B846" s="159"/>
    </row>
    <row r="847">
      <c r="B847" s="159"/>
    </row>
    <row r="848">
      <c r="B848" s="159"/>
    </row>
    <row r="849">
      <c r="B849" s="159"/>
    </row>
    <row r="850">
      <c r="B850" s="159"/>
    </row>
    <row r="851">
      <c r="B851" s="159"/>
    </row>
    <row r="852">
      <c r="B852" s="159"/>
    </row>
    <row r="853">
      <c r="B853" s="159"/>
    </row>
    <row r="854">
      <c r="B854" s="159"/>
    </row>
    <row r="855">
      <c r="B855" s="159"/>
    </row>
    <row r="856">
      <c r="B856" s="159"/>
    </row>
    <row r="857">
      <c r="B857" s="159"/>
    </row>
    <row r="858">
      <c r="B858" s="159"/>
    </row>
    <row r="859">
      <c r="B859" s="159"/>
    </row>
    <row r="860">
      <c r="B860" s="159"/>
    </row>
    <row r="861">
      <c r="B861" s="159"/>
    </row>
    <row r="862">
      <c r="B862" s="159"/>
    </row>
    <row r="863">
      <c r="B863" s="159"/>
    </row>
    <row r="864">
      <c r="B864" s="159"/>
    </row>
    <row r="865">
      <c r="B865" s="159"/>
    </row>
    <row r="866">
      <c r="B866" s="159"/>
    </row>
    <row r="867">
      <c r="B867" s="159"/>
    </row>
    <row r="868">
      <c r="B868" s="159"/>
    </row>
    <row r="869">
      <c r="B869" s="159"/>
    </row>
    <row r="870">
      <c r="B870" s="159"/>
    </row>
    <row r="871">
      <c r="B871" s="159"/>
    </row>
    <row r="872">
      <c r="B872" s="159"/>
    </row>
    <row r="873">
      <c r="B873" s="159"/>
    </row>
    <row r="874">
      <c r="B874" s="159"/>
    </row>
    <row r="875">
      <c r="B875" s="159"/>
    </row>
    <row r="876">
      <c r="B876" s="159"/>
    </row>
    <row r="877">
      <c r="B877" s="159"/>
    </row>
    <row r="878">
      <c r="B878" s="159"/>
    </row>
    <row r="879">
      <c r="B879" s="159"/>
    </row>
    <row r="880">
      <c r="B880" s="159"/>
    </row>
    <row r="881">
      <c r="B881" s="159"/>
    </row>
    <row r="882">
      <c r="B882" s="159"/>
    </row>
    <row r="883">
      <c r="B883" s="159"/>
    </row>
    <row r="884">
      <c r="B884" s="159"/>
    </row>
    <row r="885">
      <c r="B885" s="159"/>
    </row>
    <row r="886">
      <c r="B886" s="159"/>
    </row>
    <row r="887">
      <c r="B887" s="159"/>
    </row>
    <row r="888">
      <c r="B888" s="159"/>
    </row>
    <row r="889">
      <c r="B889" s="159"/>
    </row>
    <row r="890">
      <c r="B890" s="159"/>
    </row>
    <row r="891">
      <c r="B891" s="159"/>
    </row>
    <row r="892">
      <c r="B892" s="159"/>
    </row>
    <row r="893">
      <c r="B893" s="159"/>
    </row>
    <row r="894">
      <c r="B894" s="159"/>
    </row>
    <row r="895">
      <c r="B895" s="159"/>
    </row>
    <row r="896">
      <c r="B896" s="159"/>
    </row>
    <row r="897">
      <c r="B897" s="159"/>
    </row>
    <row r="898">
      <c r="B898" s="159"/>
    </row>
    <row r="899">
      <c r="B899" s="159"/>
    </row>
    <row r="900">
      <c r="B900" s="159"/>
    </row>
    <row r="901">
      <c r="B901" s="159"/>
    </row>
    <row r="902">
      <c r="B902" s="159"/>
    </row>
    <row r="903">
      <c r="B903" s="159"/>
    </row>
    <row r="904">
      <c r="B904" s="159"/>
    </row>
    <row r="905">
      <c r="B905" s="159"/>
    </row>
    <row r="906">
      <c r="B906" s="159"/>
    </row>
    <row r="907">
      <c r="B907" s="159"/>
    </row>
    <row r="908">
      <c r="B908" s="159"/>
    </row>
    <row r="909">
      <c r="B909" s="159"/>
    </row>
    <row r="910">
      <c r="B910" s="159"/>
    </row>
    <row r="911">
      <c r="B911" s="159"/>
    </row>
    <row r="912">
      <c r="B912" s="159"/>
    </row>
    <row r="913">
      <c r="B913" s="159"/>
    </row>
    <row r="914">
      <c r="B914" s="159"/>
    </row>
    <row r="915">
      <c r="B915" s="159"/>
    </row>
    <row r="916">
      <c r="B916" s="159"/>
    </row>
    <row r="917">
      <c r="B917" s="159"/>
    </row>
    <row r="918">
      <c r="B918" s="159"/>
    </row>
    <row r="919">
      <c r="B919" s="159"/>
    </row>
    <row r="920">
      <c r="B920" s="159"/>
    </row>
    <row r="921">
      <c r="B921" s="159"/>
    </row>
    <row r="922">
      <c r="B922" s="159"/>
    </row>
    <row r="923">
      <c r="B923" s="159"/>
    </row>
    <row r="924">
      <c r="B924" s="159"/>
    </row>
    <row r="925">
      <c r="B925" s="159"/>
    </row>
    <row r="926">
      <c r="B926" s="159"/>
    </row>
    <row r="927">
      <c r="B927" s="159"/>
    </row>
    <row r="928">
      <c r="B928" s="159"/>
    </row>
    <row r="929">
      <c r="B929" s="159"/>
    </row>
    <row r="930">
      <c r="B930" s="159"/>
    </row>
    <row r="931">
      <c r="B931" s="159"/>
    </row>
    <row r="932">
      <c r="B932" s="159"/>
    </row>
    <row r="933">
      <c r="B933" s="159"/>
    </row>
    <row r="934">
      <c r="B934" s="159"/>
    </row>
    <row r="935">
      <c r="B935" s="159"/>
    </row>
    <row r="936">
      <c r="B936" s="159"/>
    </row>
    <row r="937">
      <c r="B937" s="159"/>
    </row>
    <row r="938">
      <c r="B938" s="159"/>
    </row>
    <row r="939">
      <c r="B939" s="159"/>
    </row>
    <row r="940">
      <c r="B940" s="159"/>
    </row>
    <row r="941">
      <c r="B941" s="159"/>
    </row>
    <row r="942">
      <c r="B942" s="159"/>
    </row>
    <row r="943">
      <c r="B943" s="159"/>
    </row>
    <row r="944">
      <c r="B944" s="159"/>
    </row>
    <row r="945">
      <c r="B945" s="159"/>
    </row>
    <row r="946">
      <c r="B946" s="159"/>
    </row>
    <row r="947">
      <c r="B947" s="159"/>
    </row>
    <row r="948">
      <c r="B948" s="159"/>
    </row>
    <row r="949">
      <c r="B949" s="159"/>
    </row>
    <row r="950">
      <c r="B950" s="159"/>
    </row>
    <row r="951">
      <c r="B951" s="159"/>
    </row>
    <row r="952">
      <c r="B952" s="159"/>
    </row>
    <row r="953">
      <c r="B953" s="159"/>
    </row>
    <row r="954">
      <c r="B954" s="159"/>
    </row>
    <row r="955">
      <c r="B955" s="159"/>
    </row>
    <row r="956">
      <c r="B956" s="159"/>
    </row>
    <row r="957">
      <c r="B957" s="159"/>
    </row>
    <row r="958">
      <c r="B958" s="159"/>
    </row>
    <row r="959">
      <c r="B959" s="159"/>
    </row>
    <row r="960">
      <c r="B960" s="159"/>
    </row>
    <row r="961">
      <c r="B961" s="159"/>
    </row>
    <row r="962">
      <c r="B962" s="159"/>
    </row>
    <row r="963">
      <c r="B963" s="159"/>
    </row>
    <row r="964">
      <c r="B964" s="159"/>
    </row>
    <row r="965">
      <c r="B965" s="159"/>
    </row>
    <row r="966">
      <c r="B966" s="159"/>
    </row>
    <row r="967">
      <c r="B967" s="159"/>
    </row>
    <row r="968">
      <c r="B968" s="159"/>
    </row>
    <row r="969">
      <c r="B969" s="159"/>
    </row>
    <row r="970">
      <c r="B970" s="159"/>
    </row>
    <row r="971">
      <c r="B971" s="159"/>
    </row>
    <row r="972">
      <c r="B972" s="159"/>
    </row>
    <row r="973">
      <c r="B973" s="159"/>
    </row>
    <row r="974">
      <c r="B974" s="159"/>
    </row>
    <row r="975">
      <c r="B975" s="159"/>
    </row>
    <row r="976">
      <c r="B976" s="159"/>
    </row>
    <row r="977">
      <c r="B977" s="159"/>
    </row>
    <row r="978">
      <c r="B978" s="159"/>
    </row>
    <row r="979">
      <c r="B979" s="159"/>
    </row>
    <row r="980">
      <c r="B980" s="159"/>
    </row>
    <row r="981">
      <c r="B981" s="159"/>
    </row>
    <row r="982">
      <c r="B982" s="159"/>
    </row>
    <row r="983">
      <c r="B983" s="159"/>
    </row>
    <row r="984">
      <c r="B984" s="159"/>
    </row>
    <row r="985">
      <c r="B985" s="159"/>
    </row>
    <row r="986">
      <c r="B986" s="159"/>
    </row>
    <row r="987">
      <c r="B987" s="159"/>
    </row>
    <row r="988">
      <c r="B988" s="159"/>
    </row>
    <row r="989">
      <c r="B989" s="159"/>
    </row>
    <row r="990">
      <c r="B990" s="159"/>
    </row>
    <row r="991">
      <c r="B991" s="159"/>
    </row>
    <row r="992">
      <c r="B992" s="159"/>
    </row>
    <row r="993">
      <c r="B993" s="159"/>
    </row>
    <row r="994">
      <c r="B994" s="159"/>
    </row>
    <row r="995">
      <c r="B995" s="159"/>
    </row>
    <row r="996">
      <c r="B996" s="159"/>
    </row>
    <row r="997">
      <c r="B997" s="159"/>
    </row>
    <row r="998">
      <c r="B998" s="159"/>
    </row>
    <row r="999">
      <c r="B999" s="159"/>
    </row>
    <row r="1000">
      <c r="B1000" s="159"/>
    </row>
    <row r="1001">
      <c r="B1001" s="159"/>
    </row>
    <row r="1002">
      <c r="B1002" s="159"/>
    </row>
    <row r="1003">
      <c r="B1003" s="159"/>
    </row>
    <row r="1004">
      <c r="B1004" s="159"/>
    </row>
    <row r="1005">
      <c r="B1005" s="159"/>
    </row>
    <row r="1006">
      <c r="B1006" s="159"/>
    </row>
    <row r="1007">
      <c r="B1007" s="159"/>
    </row>
    <row r="1008">
      <c r="B1008" s="159"/>
    </row>
    <row r="1009">
      <c r="B1009" s="159"/>
    </row>
    <row r="1010">
      <c r="B1010" s="159"/>
    </row>
    <row r="1011">
      <c r="B1011" s="159"/>
    </row>
    <row r="1012">
      <c r="B1012" s="159"/>
    </row>
    <row r="1013">
      <c r="B1013" s="159"/>
    </row>
    <row r="1014">
      <c r="B1014" s="159"/>
    </row>
    <row r="1015">
      <c r="B1015" s="159"/>
    </row>
    <row r="1016">
      <c r="B1016" s="159"/>
    </row>
    <row r="1017">
      <c r="B1017" s="159"/>
    </row>
    <row r="1018">
      <c r="B1018" s="159"/>
    </row>
    <row r="1019">
      <c r="B1019" s="159"/>
    </row>
    <row r="1020">
      <c r="B1020" s="159"/>
    </row>
    <row r="1021">
      <c r="B1021" s="159"/>
    </row>
    <row r="1022">
      <c r="B1022" s="159"/>
    </row>
    <row r="1023">
      <c r="B1023" s="159"/>
    </row>
    <row r="1024">
      <c r="B1024" s="159"/>
    </row>
    <row r="1025">
      <c r="B1025" s="159"/>
    </row>
    <row r="1026">
      <c r="B1026" s="159"/>
    </row>
    <row r="1027">
      <c r="B1027" s="159"/>
    </row>
    <row r="1028">
      <c r="B1028" s="159"/>
    </row>
    <row r="1029">
      <c r="B1029" s="159"/>
    </row>
    <row r="1030">
      <c r="B1030" s="159"/>
    </row>
    <row r="1031">
      <c r="B1031" s="159"/>
    </row>
    <row r="1032">
      <c r="B1032" s="159"/>
    </row>
    <row r="1033">
      <c r="B1033" s="159"/>
    </row>
    <row r="1034">
      <c r="B1034" s="159"/>
    </row>
    <row r="1035">
      <c r="B1035" s="159"/>
    </row>
    <row r="1036">
      <c r="B1036" s="159"/>
    </row>
    <row r="1037">
      <c r="B1037" s="159"/>
    </row>
    <row r="1038">
      <c r="B1038" s="159"/>
    </row>
    <row r="1039">
      <c r="B1039" s="159"/>
    </row>
    <row r="1040">
      <c r="B1040" s="159"/>
    </row>
    <row r="1041">
      <c r="B1041" s="159"/>
    </row>
    <row r="1042">
      <c r="B1042" s="159"/>
    </row>
    <row r="1043">
      <c r="B1043" s="159"/>
    </row>
    <row r="1044">
      <c r="B1044" s="159"/>
    </row>
    <row r="1045">
      <c r="B1045" s="159"/>
    </row>
    <row r="1046">
      <c r="B1046" s="159"/>
    </row>
    <row r="1047">
      <c r="B1047" s="159"/>
    </row>
    <row r="1048">
      <c r="B1048" s="159"/>
    </row>
    <row r="1049">
      <c r="B1049" s="159"/>
    </row>
    <row r="1050">
      <c r="B1050" s="159"/>
    </row>
    <row r="1051">
      <c r="B1051" s="159"/>
    </row>
    <row r="1052">
      <c r="B1052" s="159"/>
    </row>
    <row r="1053">
      <c r="B1053" s="159"/>
    </row>
    <row r="1054">
      <c r="B1054" s="159"/>
    </row>
    <row r="1055">
      <c r="B1055" s="159"/>
    </row>
    <row r="1056">
      <c r="B1056" s="159"/>
    </row>
    <row r="1057">
      <c r="B1057" s="159"/>
    </row>
  </sheetData>
  <hyperlinks>
    <hyperlink r:id="rId1" ref="G3"/>
    <hyperlink r:id="rId2" ref="H3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C38"/>
    <hyperlink r:id="rId20" ref="C39"/>
    <hyperlink r:id="rId21" ref="C40"/>
    <hyperlink r:id="rId22" ref="C41"/>
    <hyperlink r:id="rId23" ref="C42"/>
    <hyperlink r:id="rId24" ref="C43"/>
    <hyperlink r:id="rId25" ref="C44"/>
    <hyperlink r:id="rId26" ref="C45"/>
    <hyperlink r:id="rId27" ref="C61"/>
    <hyperlink r:id="rId28" ref="C62"/>
    <hyperlink r:id="rId29" ref="C63"/>
    <hyperlink r:id="rId30" ref="C64"/>
    <hyperlink r:id="rId31" ref="C65"/>
    <hyperlink r:id="rId32" ref="C66"/>
    <hyperlink r:id="rId33" ref="C67"/>
    <hyperlink r:id="rId34" ref="C68"/>
    <hyperlink r:id="rId35" ref="C69"/>
    <hyperlink r:id="rId36" ref="C70"/>
    <hyperlink r:id="rId37" ref="C71"/>
    <hyperlink r:id="rId38" ref="C72"/>
    <hyperlink r:id="rId39" ref="C73"/>
    <hyperlink r:id="rId40" ref="C74"/>
    <hyperlink r:id="rId41" ref="C75"/>
    <hyperlink r:id="rId42" ref="C76"/>
    <hyperlink r:id="rId43" ref="C77"/>
    <hyperlink r:id="rId44" ref="C78"/>
    <hyperlink r:id="rId45" ref="C79"/>
    <hyperlink r:id="rId46" ref="C80"/>
    <hyperlink r:id="rId47" ref="C81"/>
    <hyperlink r:id="rId48" ref="C82"/>
    <hyperlink r:id="rId49" ref="C83"/>
    <hyperlink r:id="rId50" ref="C84"/>
    <hyperlink r:id="rId51" ref="C85"/>
    <hyperlink r:id="rId52" ref="C86"/>
  </hyperlinks>
  <drawing r:id="rId5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  <col customWidth="1" min="2" max="2" width="71.5"/>
    <col customWidth="1" min="7" max="7" width="22.5"/>
    <col customWidth="1" min="10" max="10" width="15.38"/>
    <col customWidth="1" min="11" max="11" width="33.25"/>
  </cols>
  <sheetData>
    <row r="1">
      <c r="A1" s="7" t="s">
        <v>479</v>
      </c>
      <c r="B1" s="243"/>
      <c r="C1" s="244"/>
      <c r="D1" s="244"/>
      <c r="E1" s="244"/>
      <c r="F1" s="244"/>
      <c r="G1" s="244"/>
      <c r="H1" s="72"/>
      <c r="I1" s="244"/>
      <c r="J1" s="244"/>
      <c r="K1" s="245"/>
      <c r="L1" s="35"/>
      <c r="M1" s="35"/>
    </row>
    <row r="2">
      <c r="A2" s="7" t="s">
        <v>480</v>
      </c>
      <c r="B2" s="243"/>
      <c r="C2" s="244"/>
      <c r="D2" s="244"/>
      <c r="E2" s="244"/>
      <c r="F2" s="244"/>
      <c r="G2" s="244"/>
      <c r="H2" s="244"/>
      <c r="I2" s="244"/>
      <c r="J2" s="244"/>
      <c r="K2" s="245"/>
      <c r="L2" s="35"/>
      <c r="M2" s="35"/>
    </row>
    <row r="3">
      <c r="A3" s="7" t="s">
        <v>542</v>
      </c>
      <c r="B3" s="243"/>
      <c r="C3" s="99" t="s">
        <v>17</v>
      </c>
      <c r="D3" s="246">
        <v>46086.0</v>
      </c>
      <c r="E3" s="101" t="s">
        <v>339</v>
      </c>
      <c r="F3" s="102">
        <v>46112.0</v>
      </c>
      <c r="G3" s="103" t="s">
        <v>340</v>
      </c>
      <c r="H3" s="103" t="s">
        <v>341</v>
      </c>
      <c r="I3" s="244"/>
      <c r="J3" s="244"/>
      <c r="K3" s="245"/>
      <c r="L3" s="35"/>
      <c r="M3" s="35"/>
    </row>
    <row r="4">
      <c r="A4" s="165" t="s">
        <v>342</v>
      </c>
      <c r="B4" s="166" t="s">
        <v>316</v>
      </c>
      <c r="C4" s="167" t="s">
        <v>343</v>
      </c>
      <c r="D4" s="167" t="s">
        <v>57</v>
      </c>
      <c r="E4" s="167" t="s">
        <v>344</v>
      </c>
      <c r="F4" s="167" t="s">
        <v>345</v>
      </c>
      <c r="G4" s="167" t="s">
        <v>346</v>
      </c>
      <c r="H4" s="167" t="s">
        <v>19</v>
      </c>
      <c r="I4" s="167" t="s">
        <v>347</v>
      </c>
      <c r="J4" s="167" t="s">
        <v>348</v>
      </c>
      <c r="K4" s="33" t="s">
        <v>349</v>
      </c>
      <c r="L4" s="34" t="s">
        <v>402</v>
      </c>
      <c r="M4" s="34" t="s">
        <v>350</v>
      </c>
    </row>
    <row r="5">
      <c r="A5" s="168">
        <v>1.0</v>
      </c>
      <c r="B5" s="204" t="s">
        <v>543</v>
      </c>
      <c r="C5" s="70">
        <v>1852.0</v>
      </c>
      <c r="D5" s="70">
        <v>929.0</v>
      </c>
      <c r="E5" s="70">
        <v>943.0</v>
      </c>
      <c r="F5" s="70">
        <v>614.0</v>
      </c>
      <c r="G5" s="205">
        <f t="shared" ref="G5:G20" si="1">F5/E5</f>
        <v>0.6511134677</v>
      </c>
      <c r="H5" s="247">
        <v>0.013020833333333334</v>
      </c>
      <c r="I5" s="72">
        <v>0.004571759259259259</v>
      </c>
      <c r="J5" s="205">
        <f t="shared" ref="J5:J20" si="2">I5/H5</f>
        <v>0.3511111111</v>
      </c>
      <c r="K5" s="207" t="s">
        <v>319</v>
      </c>
      <c r="L5" s="74">
        <v>350.0</v>
      </c>
      <c r="M5" s="161"/>
    </row>
    <row r="6">
      <c r="A6" s="170">
        <v>2.0</v>
      </c>
      <c r="B6" s="204" t="s">
        <v>544</v>
      </c>
      <c r="C6" s="58">
        <v>624.0</v>
      </c>
      <c r="D6" s="58">
        <v>337.0</v>
      </c>
      <c r="E6" s="248" t="s">
        <v>545</v>
      </c>
      <c r="F6" s="58">
        <v>187.0</v>
      </c>
      <c r="G6" s="205">
        <f t="shared" si="1"/>
        <v>0.6515679443</v>
      </c>
      <c r="H6" s="247">
        <v>0.011875</v>
      </c>
      <c r="I6" s="72">
        <v>0.0069097222222222225</v>
      </c>
      <c r="J6" s="205">
        <f t="shared" si="2"/>
        <v>0.581871345</v>
      </c>
      <c r="K6" s="207" t="s">
        <v>321</v>
      </c>
      <c r="L6" s="74">
        <v>350.0</v>
      </c>
      <c r="M6" s="38"/>
    </row>
    <row r="7">
      <c r="A7" s="249">
        <v>3.0</v>
      </c>
      <c r="B7" s="210" t="s">
        <v>546</v>
      </c>
      <c r="C7" s="81">
        <v>401.0</v>
      </c>
      <c r="D7" s="81">
        <v>228.0</v>
      </c>
      <c r="E7" s="81">
        <v>203.0</v>
      </c>
      <c r="F7" s="81">
        <v>153.0</v>
      </c>
      <c r="G7" s="250">
        <f t="shared" si="1"/>
        <v>0.7536945813</v>
      </c>
      <c r="H7" s="251">
        <v>0.014386574074074074</v>
      </c>
      <c r="I7" s="83">
        <v>0.007523148148148148</v>
      </c>
      <c r="J7" s="211">
        <f t="shared" si="2"/>
        <v>0.522928399</v>
      </c>
      <c r="K7" s="213" t="s">
        <v>323</v>
      </c>
      <c r="L7" s="85">
        <v>500.0</v>
      </c>
      <c r="M7" s="85">
        <v>300.0</v>
      </c>
      <c r="N7" s="8" t="s">
        <v>547</v>
      </c>
    </row>
    <row r="8">
      <c r="A8" s="174">
        <v>4.0</v>
      </c>
      <c r="B8" s="215" t="s">
        <v>548</v>
      </c>
      <c r="C8" s="88">
        <v>171.0</v>
      </c>
      <c r="D8" s="88">
        <v>107.0</v>
      </c>
      <c r="E8" s="88">
        <v>85.0</v>
      </c>
      <c r="F8" s="88">
        <v>60.0</v>
      </c>
      <c r="G8" s="216">
        <f t="shared" si="1"/>
        <v>0.7058823529</v>
      </c>
      <c r="H8" s="252">
        <v>0.014849537037037038</v>
      </c>
      <c r="I8" s="90">
        <v>0.00886574074074074</v>
      </c>
      <c r="J8" s="216">
        <f t="shared" si="2"/>
        <v>0.5970381917</v>
      </c>
      <c r="K8" s="218" t="s">
        <v>326</v>
      </c>
      <c r="L8" s="92"/>
      <c r="M8" s="175"/>
    </row>
    <row r="9">
      <c r="A9" s="168">
        <v>5.0</v>
      </c>
      <c r="B9" s="204" t="s">
        <v>549</v>
      </c>
      <c r="C9" s="70">
        <v>495.0</v>
      </c>
      <c r="D9" s="70">
        <v>278.0</v>
      </c>
      <c r="E9" s="70">
        <v>195.0</v>
      </c>
      <c r="F9" s="70">
        <v>130.0</v>
      </c>
      <c r="G9" s="205">
        <f t="shared" si="1"/>
        <v>0.6666666667</v>
      </c>
      <c r="H9" s="247">
        <v>0.013796296296296296</v>
      </c>
      <c r="I9" s="72">
        <v>0.009074074074074075</v>
      </c>
      <c r="J9" s="205">
        <f t="shared" si="2"/>
        <v>0.6577181208</v>
      </c>
      <c r="K9" s="207" t="s">
        <v>319</v>
      </c>
      <c r="L9" s="74">
        <v>350.0</v>
      </c>
      <c r="M9" s="161"/>
    </row>
    <row r="10">
      <c r="A10" s="168">
        <v>6.0</v>
      </c>
      <c r="B10" s="204" t="s">
        <v>550</v>
      </c>
      <c r="C10" s="70">
        <v>486.0</v>
      </c>
      <c r="D10" s="70">
        <v>273.0</v>
      </c>
      <c r="E10" s="70">
        <v>237.0</v>
      </c>
      <c r="F10" s="70">
        <v>154.0</v>
      </c>
      <c r="G10" s="205">
        <f t="shared" si="1"/>
        <v>0.6497890295</v>
      </c>
      <c r="H10" s="247">
        <v>0.015196759259259259</v>
      </c>
      <c r="I10" s="72">
        <v>0.010092592592592592</v>
      </c>
      <c r="J10" s="205">
        <f t="shared" si="2"/>
        <v>0.6641279513</v>
      </c>
      <c r="K10" s="207" t="s">
        <v>321</v>
      </c>
      <c r="L10" s="74">
        <v>350.0</v>
      </c>
      <c r="M10" s="161"/>
    </row>
    <row r="11">
      <c r="A11" s="249">
        <v>7.0</v>
      </c>
      <c r="B11" s="210" t="s">
        <v>551</v>
      </c>
      <c r="C11" s="81">
        <v>362.0</v>
      </c>
      <c r="D11" s="81">
        <v>216.0</v>
      </c>
      <c r="E11" s="81">
        <v>196.0</v>
      </c>
      <c r="F11" s="81">
        <v>137.0</v>
      </c>
      <c r="G11" s="250">
        <f t="shared" si="1"/>
        <v>0.6989795918</v>
      </c>
      <c r="H11" s="251">
        <v>0.01579861111111111</v>
      </c>
      <c r="I11" s="83">
        <v>0.009247685185185185</v>
      </c>
      <c r="J11" s="211">
        <f t="shared" si="2"/>
        <v>0.5853479853</v>
      </c>
      <c r="K11" s="213" t="s">
        <v>323</v>
      </c>
      <c r="L11" s="85">
        <v>500.0</v>
      </c>
      <c r="M11" s="85">
        <v>300.0</v>
      </c>
      <c r="N11" s="8" t="s">
        <v>552</v>
      </c>
    </row>
    <row r="12">
      <c r="A12" s="174">
        <v>8.0</v>
      </c>
      <c r="B12" s="215" t="s">
        <v>553</v>
      </c>
      <c r="C12" s="88">
        <v>103.0</v>
      </c>
      <c r="D12" s="88">
        <v>74.0</v>
      </c>
      <c r="E12" s="88">
        <v>55.0</v>
      </c>
      <c r="F12" s="88">
        <v>40.0</v>
      </c>
      <c r="G12" s="216">
        <f t="shared" si="1"/>
        <v>0.7272727273</v>
      </c>
      <c r="H12" s="252">
        <v>0.006736111111111111</v>
      </c>
      <c r="I12" s="90">
        <v>0.005127314814814815</v>
      </c>
      <c r="J12" s="216">
        <f t="shared" si="2"/>
        <v>0.7611683849</v>
      </c>
      <c r="K12" s="218" t="s">
        <v>326</v>
      </c>
      <c r="L12" s="175"/>
      <c r="M12" s="175"/>
    </row>
    <row r="13">
      <c r="A13" s="168">
        <v>9.0</v>
      </c>
      <c r="B13" s="204" t="s">
        <v>554</v>
      </c>
      <c r="C13" s="70">
        <v>557.0</v>
      </c>
      <c r="D13" s="70">
        <v>322.0</v>
      </c>
      <c r="E13" s="70">
        <v>248.0</v>
      </c>
      <c r="F13" s="70">
        <v>173.0</v>
      </c>
      <c r="G13" s="205">
        <f t="shared" si="1"/>
        <v>0.6975806452</v>
      </c>
      <c r="H13" s="247">
        <v>0.01306712962962963</v>
      </c>
      <c r="I13" s="72">
        <v>0.00920138888888889</v>
      </c>
      <c r="J13" s="205">
        <f t="shared" si="2"/>
        <v>0.7041629761</v>
      </c>
      <c r="K13" s="207" t="s">
        <v>319</v>
      </c>
      <c r="L13" s="74">
        <v>350.0</v>
      </c>
      <c r="M13" s="161"/>
    </row>
    <row r="14">
      <c r="A14" s="168">
        <v>10.0</v>
      </c>
      <c r="B14" s="204" t="s">
        <v>555</v>
      </c>
      <c r="C14" s="70">
        <v>335.0</v>
      </c>
      <c r="D14" s="70">
        <v>194.0</v>
      </c>
      <c r="E14" s="70">
        <v>179.0</v>
      </c>
      <c r="F14" s="70">
        <v>118.0</v>
      </c>
      <c r="G14" s="205">
        <f t="shared" si="1"/>
        <v>0.6592178771</v>
      </c>
      <c r="H14" s="247">
        <v>0.014131944444444445</v>
      </c>
      <c r="I14" s="72">
        <v>0.009224537037037036</v>
      </c>
      <c r="J14" s="205">
        <f t="shared" si="2"/>
        <v>0.6527436527</v>
      </c>
      <c r="K14" s="207" t="s">
        <v>321</v>
      </c>
      <c r="L14" s="74">
        <v>350.0</v>
      </c>
      <c r="M14" s="161"/>
    </row>
    <row r="15">
      <c r="A15" s="249">
        <v>11.0</v>
      </c>
      <c r="B15" s="210" t="s">
        <v>556</v>
      </c>
      <c r="C15" s="80">
        <v>449.0</v>
      </c>
      <c r="D15" s="81">
        <v>188.0</v>
      </c>
      <c r="E15" s="80">
        <v>219.0</v>
      </c>
      <c r="F15" s="80">
        <v>123.0</v>
      </c>
      <c r="G15" s="211">
        <f t="shared" si="1"/>
        <v>0.5616438356</v>
      </c>
      <c r="H15" s="251">
        <v>0.016168981481481482</v>
      </c>
      <c r="I15" s="83">
        <v>0.007835648148148149</v>
      </c>
      <c r="J15" s="211">
        <f t="shared" si="2"/>
        <v>0.4846098783</v>
      </c>
      <c r="K15" s="213" t="s">
        <v>323</v>
      </c>
      <c r="L15" s="85">
        <v>500.0</v>
      </c>
      <c r="M15" s="85">
        <v>300.0</v>
      </c>
      <c r="N15" s="8" t="s">
        <v>557</v>
      </c>
    </row>
    <row r="16">
      <c r="A16" s="174">
        <v>12.0</v>
      </c>
      <c r="B16" s="87" t="s">
        <v>498</v>
      </c>
      <c r="C16" s="88">
        <v>127.0</v>
      </c>
      <c r="D16" s="88">
        <v>81.0</v>
      </c>
      <c r="E16" s="88">
        <v>64.0</v>
      </c>
      <c r="F16" s="88">
        <v>51.0</v>
      </c>
      <c r="G16" s="216">
        <f t="shared" si="1"/>
        <v>0.796875</v>
      </c>
      <c r="H16" s="252">
        <v>0.009895833333333333</v>
      </c>
      <c r="I16" s="90">
        <v>0.007928240740740741</v>
      </c>
      <c r="J16" s="216">
        <f t="shared" si="2"/>
        <v>0.8011695906</v>
      </c>
      <c r="K16" s="218" t="s">
        <v>326</v>
      </c>
      <c r="L16" s="175"/>
      <c r="M16" s="175"/>
    </row>
    <row r="17">
      <c r="A17" s="168">
        <v>13.0</v>
      </c>
      <c r="B17" s="204" t="s">
        <v>558</v>
      </c>
      <c r="C17" s="70">
        <v>328.0</v>
      </c>
      <c r="D17" s="70">
        <v>186.0</v>
      </c>
      <c r="E17" s="70">
        <v>167.0</v>
      </c>
      <c r="F17" s="70">
        <v>98.0</v>
      </c>
      <c r="G17" s="205">
        <f t="shared" si="1"/>
        <v>0.5868263473</v>
      </c>
      <c r="H17" s="247">
        <v>0.014212962962962964</v>
      </c>
      <c r="I17" s="72">
        <v>0.010601851851851852</v>
      </c>
      <c r="J17" s="205">
        <f t="shared" si="2"/>
        <v>0.7459283388</v>
      </c>
      <c r="K17" s="207" t="s">
        <v>319</v>
      </c>
      <c r="L17" s="74">
        <v>350.0</v>
      </c>
      <c r="M17" s="161"/>
    </row>
    <row r="18">
      <c r="A18" s="168">
        <v>14.0</v>
      </c>
      <c r="B18" s="204" t="s">
        <v>559</v>
      </c>
      <c r="C18" s="70">
        <v>427.0</v>
      </c>
      <c r="D18" s="70">
        <v>230.0</v>
      </c>
      <c r="E18" s="70">
        <v>228.0</v>
      </c>
      <c r="F18" s="70">
        <v>147.0</v>
      </c>
      <c r="G18" s="205">
        <f t="shared" si="1"/>
        <v>0.6447368421</v>
      </c>
      <c r="H18" s="247">
        <v>0.012824074074074075</v>
      </c>
      <c r="I18" s="72">
        <v>0.008067129629629629</v>
      </c>
      <c r="J18" s="205">
        <f t="shared" si="2"/>
        <v>0.6290613718</v>
      </c>
      <c r="K18" s="207" t="s">
        <v>321</v>
      </c>
      <c r="L18" s="74">
        <v>350.0</v>
      </c>
      <c r="M18" s="161"/>
    </row>
    <row r="19">
      <c r="A19" s="257">
        <v>15.0</v>
      </c>
      <c r="B19" s="258" t="s">
        <v>560</v>
      </c>
      <c r="C19" s="259">
        <v>314.0</v>
      </c>
      <c r="D19" s="260">
        <v>163.0</v>
      </c>
      <c r="E19" s="259">
        <v>180.0</v>
      </c>
      <c r="F19" s="259">
        <v>107.0</v>
      </c>
      <c r="G19" s="261">
        <f t="shared" si="1"/>
        <v>0.5944444444</v>
      </c>
      <c r="H19" s="262">
        <v>0.017592592592592594</v>
      </c>
      <c r="I19" s="263">
        <v>0.01074074074074074</v>
      </c>
      <c r="J19" s="261">
        <f t="shared" si="2"/>
        <v>0.6105263158</v>
      </c>
      <c r="K19" s="264" t="s">
        <v>321</v>
      </c>
      <c r="L19" s="265">
        <v>500.0</v>
      </c>
      <c r="M19" s="265">
        <v>300.0</v>
      </c>
      <c r="N19" s="8" t="s">
        <v>552</v>
      </c>
    </row>
    <row r="20">
      <c r="A20" s="174">
        <v>16.0</v>
      </c>
      <c r="B20" s="215" t="s">
        <v>561</v>
      </c>
      <c r="C20" s="88">
        <v>104.0</v>
      </c>
      <c r="D20" s="88">
        <v>67.0</v>
      </c>
      <c r="E20" s="88">
        <v>51.0</v>
      </c>
      <c r="F20" s="88">
        <v>36.0</v>
      </c>
      <c r="G20" s="216">
        <f t="shared" si="1"/>
        <v>0.7058823529</v>
      </c>
      <c r="H20" s="252">
        <v>0.00798611111111111</v>
      </c>
      <c r="I20" s="90">
        <v>0.00619212962962963</v>
      </c>
      <c r="J20" s="216">
        <f t="shared" si="2"/>
        <v>0.7753623188</v>
      </c>
      <c r="K20" s="220" t="s">
        <v>326</v>
      </c>
      <c r="L20" s="175"/>
      <c r="M20" s="175"/>
    </row>
    <row r="21">
      <c r="A21" s="178"/>
      <c r="B21" s="179"/>
      <c r="C21" s="180">
        <v>7135.0</v>
      </c>
      <c r="D21" s="180">
        <v>1587.0</v>
      </c>
      <c r="E21" s="221"/>
      <c r="F21" s="221"/>
      <c r="G21" s="178"/>
      <c r="H21" s="178"/>
      <c r="I21" s="178"/>
      <c r="J21" s="178"/>
      <c r="K21" s="222" t="s">
        <v>364</v>
      </c>
      <c r="L21" s="182">
        <v>500.0</v>
      </c>
      <c r="M21" s="224">
        <v>1500.0</v>
      </c>
    </row>
    <row r="22">
      <c r="A22" s="75"/>
      <c r="B22" s="73"/>
      <c r="C22" s="75"/>
      <c r="D22" s="75"/>
      <c r="E22" s="75"/>
      <c r="F22" s="75"/>
      <c r="G22" s="75"/>
      <c r="H22" s="75"/>
      <c r="I22" s="75"/>
      <c r="J22" s="75"/>
      <c r="K22" s="253" t="s">
        <v>403</v>
      </c>
      <c r="L22" s="74">
        <f>SUM(L5:L21)</f>
        <v>5300</v>
      </c>
      <c r="M22" s="161"/>
    </row>
    <row r="23">
      <c r="A23" s="185" t="s">
        <v>365</v>
      </c>
      <c r="B23" s="185" t="s">
        <v>366</v>
      </c>
      <c r="C23" s="185" t="s">
        <v>367</v>
      </c>
      <c r="D23" s="185" t="s">
        <v>11</v>
      </c>
      <c r="E23" s="185" t="s">
        <v>19</v>
      </c>
      <c r="F23" s="185" t="s">
        <v>368</v>
      </c>
      <c r="G23" s="186" t="s">
        <v>369</v>
      </c>
      <c r="H23" s="187">
        <v>1963.0</v>
      </c>
      <c r="I23" s="188">
        <v>46086.0</v>
      </c>
      <c r="J23" s="75"/>
      <c r="K23" s="35"/>
      <c r="L23" s="208"/>
      <c r="M23" s="161"/>
    </row>
    <row r="24">
      <c r="A24" s="190">
        <v>2025.0</v>
      </c>
      <c r="B24" s="191">
        <v>1842.0</v>
      </c>
      <c r="C24" s="191">
        <v>500.0</v>
      </c>
      <c r="D24" s="192">
        <f t="shared" ref="D24:D25" si="3">C24/B24</f>
        <v>0.2714440825</v>
      </c>
      <c r="E24" s="191">
        <v>378.0</v>
      </c>
      <c r="F24" s="191">
        <v>149.0</v>
      </c>
      <c r="G24" s="7"/>
      <c r="H24" s="7"/>
      <c r="I24" s="7"/>
      <c r="J24" s="75"/>
      <c r="K24" s="35"/>
      <c r="L24" s="208"/>
      <c r="M24" s="161"/>
    </row>
    <row r="25">
      <c r="A25" s="193">
        <v>2024.0</v>
      </c>
      <c r="B25" s="194">
        <v>2865.0</v>
      </c>
      <c r="C25" s="194">
        <v>742.0</v>
      </c>
      <c r="D25" s="195">
        <f t="shared" si="3"/>
        <v>0.2589877836</v>
      </c>
      <c r="E25" s="194">
        <v>350.0</v>
      </c>
      <c r="F25" s="194">
        <v>155.0</v>
      </c>
      <c r="G25" s="7"/>
      <c r="H25" s="7"/>
      <c r="I25" s="7"/>
      <c r="J25" s="75"/>
      <c r="K25" s="35"/>
      <c r="L25" s="208"/>
      <c r="M25" s="161"/>
    </row>
    <row r="26">
      <c r="A26" s="75"/>
      <c r="B26" s="73"/>
      <c r="C26" s="75"/>
      <c r="D26" s="75"/>
      <c r="E26" s="75"/>
      <c r="F26" s="75"/>
      <c r="G26" s="75"/>
      <c r="H26" s="75"/>
      <c r="I26" s="75"/>
      <c r="J26" s="75"/>
      <c r="K26" s="35"/>
      <c r="L26" s="208"/>
      <c r="M26" s="161"/>
    </row>
    <row r="27">
      <c r="A27" s="266"/>
      <c r="B27" s="95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</row>
    <row r="28">
      <c r="A28" s="266"/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</row>
    <row r="29">
      <c r="A29" s="266"/>
      <c r="B29" s="95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</row>
    <row r="30">
      <c r="A30" s="266"/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</row>
    <row r="31">
      <c r="A31" s="266"/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</row>
    <row r="32">
      <c r="A32" s="266"/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</row>
    <row r="33">
      <c r="A33" s="266"/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</row>
    <row r="34">
      <c r="A34" s="266"/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</row>
    <row r="35">
      <c r="A35" s="266"/>
      <c r="B35" s="95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</row>
    <row r="36">
      <c r="A36" s="266"/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</row>
    <row r="37">
      <c r="A37" s="266"/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  <c r="AA37" s="97"/>
      <c r="AB37" s="97"/>
      <c r="AC37" s="97"/>
      <c r="AD37" s="97"/>
      <c r="AE37" s="97"/>
    </row>
    <row r="38">
      <c r="A38" s="266"/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  <c r="AA38" s="97"/>
      <c r="AB38" s="97"/>
      <c r="AC38" s="97"/>
      <c r="AD38" s="97"/>
      <c r="AE38" s="97"/>
    </row>
    <row r="39">
      <c r="A39" s="266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  <c r="AA39" s="97"/>
      <c r="AB39" s="97"/>
      <c r="AC39" s="97"/>
      <c r="AD39" s="97"/>
      <c r="AE39" s="97"/>
    </row>
    <row r="40">
      <c r="A40" s="266"/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  <c r="AA40" s="97"/>
      <c r="AB40" s="97"/>
      <c r="AC40" s="97"/>
      <c r="AD40" s="97"/>
      <c r="AE40" s="97"/>
    </row>
    <row r="41">
      <c r="A41" s="266"/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</row>
    <row r="42">
      <c r="A42" s="266"/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  <c r="AA42" s="97"/>
      <c r="AB42" s="97"/>
      <c r="AC42" s="97"/>
      <c r="AD42" s="97"/>
      <c r="AE42" s="97"/>
    </row>
    <row r="43">
      <c r="A43" s="266"/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  <c r="AA43" s="97"/>
      <c r="AB43" s="97"/>
      <c r="AC43" s="97"/>
      <c r="AD43" s="97"/>
      <c r="AE43" s="97"/>
    </row>
    <row r="44">
      <c r="A44" s="266"/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  <c r="AA44" s="97"/>
      <c r="AB44" s="97"/>
      <c r="AC44" s="97"/>
      <c r="AD44" s="97"/>
      <c r="AE44" s="97"/>
    </row>
    <row r="45">
      <c r="A45" s="266"/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</row>
    <row r="46">
      <c r="A46" s="266" t="s">
        <v>562</v>
      </c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</row>
    <row r="47">
      <c r="A47" s="95"/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7"/>
    </row>
    <row r="48">
      <c r="A48" s="267" t="s">
        <v>563</v>
      </c>
      <c r="B48" s="95"/>
      <c r="C48" s="95"/>
      <c r="D48" s="95"/>
      <c r="E48" s="95"/>
      <c r="F48" s="95"/>
      <c r="G48" s="95"/>
      <c r="H48" s="95"/>
      <c r="I48" s="95"/>
      <c r="J48" s="95"/>
      <c r="K48" s="95"/>
      <c r="L48" s="95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  <c r="AA48" s="97"/>
      <c r="AB48" s="97"/>
      <c r="AC48" s="97"/>
      <c r="AD48" s="97"/>
      <c r="AE48" s="97"/>
    </row>
    <row r="49">
      <c r="A49" s="268" t="s">
        <v>8</v>
      </c>
      <c r="B49" s="269">
        <v>45190.0</v>
      </c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  <c r="AA49" s="97"/>
      <c r="AB49" s="97"/>
      <c r="AC49" s="97"/>
      <c r="AD49" s="97"/>
      <c r="AE49" s="97"/>
    </row>
    <row r="50">
      <c r="A50" s="268" t="s">
        <v>564</v>
      </c>
      <c r="B50" s="268">
        <v>1382.0</v>
      </c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  <c r="AA50" s="97"/>
      <c r="AB50" s="97"/>
      <c r="AC50" s="97"/>
      <c r="AD50" s="97"/>
      <c r="AE50" s="97"/>
    </row>
    <row r="51">
      <c r="A51" s="268" t="s">
        <v>565</v>
      </c>
      <c r="B51" s="268">
        <v>618.0</v>
      </c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  <c r="AA51" s="97"/>
      <c r="AB51" s="97"/>
      <c r="AC51" s="97"/>
      <c r="AD51" s="97"/>
      <c r="AE51" s="97"/>
    </row>
    <row r="52">
      <c r="A52" s="268" t="s">
        <v>19</v>
      </c>
      <c r="B52" s="268">
        <v>257.0</v>
      </c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  <c r="AA52" s="97"/>
      <c r="AB52" s="97"/>
      <c r="AC52" s="97"/>
      <c r="AD52" s="97"/>
      <c r="AE52" s="97"/>
    </row>
    <row r="53">
      <c r="A53" s="268" t="s">
        <v>566</v>
      </c>
      <c r="B53" s="268">
        <v>102.0</v>
      </c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7"/>
      <c r="AB53" s="97"/>
      <c r="AC53" s="97"/>
      <c r="AD53" s="97"/>
      <c r="AE53" s="97"/>
    </row>
    <row r="54">
      <c r="A54" s="95"/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  <c r="AA54" s="97"/>
      <c r="AB54" s="97"/>
      <c r="AC54" s="97"/>
      <c r="AD54" s="97"/>
      <c r="AE54" s="97"/>
    </row>
    <row r="55">
      <c r="A55" s="95"/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97"/>
      <c r="AB55" s="97"/>
      <c r="AC55" s="97"/>
      <c r="AD55" s="97"/>
      <c r="AE55" s="97"/>
    </row>
    <row r="56">
      <c r="A56" s="95"/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  <c r="AB56" s="97"/>
      <c r="AC56" s="97"/>
      <c r="AD56" s="97"/>
      <c r="AE56" s="97"/>
    </row>
    <row r="57">
      <c r="A57" s="95"/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  <c r="AA57" s="97"/>
      <c r="AB57" s="97"/>
      <c r="AC57" s="97"/>
      <c r="AD57" s="97"/>
      <c r="AE57" s="97"/>
    </row>
    <row r="58">
      <c r="A58" s="95"/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  <c r="AA58" s="97"/>
      <c r="AB58" s="97"/>
      <c r="AC58" s="97"/>
      <c r="AD58" s="97"/>
      <c r="AE58" s="97"/>
    </row>
    <row r="59">
      <c r="A59" s="95"/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  <c r="AA59" s="97"/>
      <c r="AB59" s="97"/>
      <c r="AC59" s="97"/>
      <c r="AD59" s="97"/>
      <c r="AE59" s="97"/>
    </row>
    <row r="60">
      <c r="A60" s="95"/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  <c r="AA60" s="97"/>
      <c r="AB60" s="97"/>
      <c r="AC60" s="97"/>
      <c r="AD60" s="97"/>
      <c r="AE60" s="97"/>
    </row>
    <row r="61">
      <c r="A61" s="95"/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  <c r="AA61" s="97"/>
      <c r="AB61" s="97"/>
      <c r="AC61" s="97"/>
      <c r="AD61" s="97"/>
      <c r="AE61" s="97"/>
    </row>
    <row r="62">
      <c r="A62" s="95"/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  <c r="AA62" s="97"/>
      <c r="AB62" s="97"/>
      <c r="AC62" s="97"/>
      <c r="AD62" s="97"/>
      <c r="AE62" s="97"/>
    </row>
    <row r="63">
      <c r="A63" s="95"/>
      <c r="B63" s="95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  <c r="AA63" s="97"/>
      <c r="AB63" s="97"/>
      <c r="AC63" s="97"/>
      <c r="AD63" s="97"/>
      <c r="AE63" s="97"/>
    </row>
    <row r="64">
      <c r="A64" s="95"/>
      <c r="B64" s="95"/>
      <c r="C64" s="95"/>
      <c r="D64" s="95"/>
      <c r="E64" s="95"/>
      <c r="F64" s="95"/>
      <c r="G64" s="95"/>
      <c r="H64" s="95"/>
      <c r="I64" s="95"/>
      <c r="J64" s="95"/>
      <c r="K64" s="95"/>
      <c r="L64" s="95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  <c r="AA64" s="97"/>
      <c r="AB64" s="97"/>
      <c r="AC64" s="97"/>
      <c r="AD64" s="97"/>
      <c r="AE64" s="97"/>
    </row>
    <row r="65">
      <c r="A65" s="95"/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  <c r="AA65" s="97"/>
      <c r="AB65" s="97"/>
      <c r="AC65" s="97"/>
      <c r="AD65" s="97"/>
      <c r="AE65" s="97"/>
    </row>
    <row r="66">
      <c r="A66" s="95"/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95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97"/>
      <c r="AB66" s="97"/>
      <c r="AC66" s="97"/>
      <c r="AD66" s="97"/>
      <c r="AE66" s="97"/>
    </row>
    <row r="67">
      <c r="A67" s="95"/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  <c r="AA67" s="97"/>
      <c r="AB67" s="97"/>
      <c r="AC67" s="97"/>
      <c r="AD67" s="97"/>
      <c r="AE67" s="97"/>
    </row>
    <row r="68">
      <c r="A68" s="95"/>
      <c r="B68" s="95"/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  <c r="AA68" s="97"/>
      <c r="AB68" s="97"/>
      <c r="AC68" s="97"/>
      <c r="AD68" s="97"/>
      <c r="AE68" s="97"/>
    </row>
    <row r="69">
      <c r="A69" s="95"/>
      <c r="B69" s="95"/>
      <c r="C69" s="95"/>
      <c r="D69" s="95"/>
      <c r="E69" s="95"/>
      <c r="F69" s="95"/>
      <c r="G69" s="95"/>
      <c r="H69" s="95"/>
      <c r="I69" s="95"/>
      <c r="J69" s="95"/>
      <c r="K69" s="95"/>
      <c r="L69" s="95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  <c r="AA69" s="97"/>
      <c r="AB69" s="97"/>
      <c r="AC69" s="97"/>
      <c r="AD69" s="97"/>
      <c r="AE69" s="97"/>
    </row>
    <row r="70">
      <c r="A70" s="267" t="s">
        <v>567</v>
      </c>
      <c r="B70" s="95"/>
      <c r="C70" s="95"/>
      <c r="D70" s="95"/>
      <c r="E70" s="95"/>
      <c r="F70" s="95"/>
      <c r="G70" s="95"/>
      <c r="H70" s="95"/>
      <c r="I70" s="95"/>
      <c r="J70" s="95"/>
      <c r="K70" s="95"/>
      <c r="L70" s="95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  <c r="AA70" s="97"/>
      <c r="AB70" s="97"/>
      <c r="AC70" s="97"/>
      <c r="AD70" s="97"/>
      <c r="AE70" s="97"/>
    </row>
    <row r="71">
      <c r="A71" s="11" t="s">
        <v>342</v>
      </c>
      <c r="B71" s="11" t="s">
        <v>316</v>
      </c>
      <c r="C71" s="11" t="s">
        <v>405</v>
      </c>
      <c r="D71" s="11" t="s">
        <v>343</v>
      </c>
      <c r="E71" s="11" t="s">
        <v>406</v>
      </c>
      <c r="F71" s="11" t="s">
        <v>466</v>
      </c>
      <c r="G71" s="11" t="s">
        <v>568</v>
      </c>
      <c r="H71" s="11" t="s">
        <v>467</v>
      </c>
      <c r="I71" s="11" t="s">
        <v>569</v>
      </c>
      <c r="J71" s="11" t="s">
        <v>570</v>
      </c>
      <c r="K71" s="11" t="s">
        <v>469</v>
      </c>
      <c r="L71" s="11" t="s">
        <v>17</v>
      </c>
    </row>
    <row r="72">
      <c r="A72" s="8">
        <v>1.0</v>
      </c>
      <c r="B72" s="142" t="s">
        <v>571</v>
      </c>
      <c r="C72" s="18">
        <v>44994.0</v>
      </c>
      <c r="D72" s="8">
        <v>2136.0</v>
      </c>
      <c r="E72" s="8">
        <v>984.0</v>
      </c>
      <c r="F72" s="8">
        <v>587.0</v>
      </c>
      <c r="G72" s="16">
        <f t="shared" ref="G72:G83" si="4">F72/E72</f>
        <v>0.5965447154</v>
      </c>
      <c r="H72" s="242">
        <v>0.01423611111111111</v>
      </c>
      <c r="I72" s="8">
        <v>5011.0</v>
      </c>
      <c r="J72" s="31">
        <f t="shared" ref="J72:J83" si="5">I72/F72</f>
        <v>8.536626917</v>
      </c>
      <c r="K72" s="8">
        <v>25.0</v>
      </c>
      <c r="L72" s="18">
        <v>45434.0</v>
      </c>
    </row>
    <row r="73">
      <c r="A73" s="8">
        <v>2.0</v>
      </c>
      <c r="B73" s="142" t="s">
        <v>572</v>
      </c>
      <c r="C73" s="18">
        <v>44994.0</v>
      </c>
      <c r="D73" s="8">
        <v>364.0</v>
      </c>
      <c r="E73" s="8">
        <v>208.0</v>
      </c>
      <c r="F73" s="8">
        <v>265.0</v>
      </c>
      <c r="G73" s="16">
        <f t="shared" si="4"/>
        <v>1.274038462</v>
      </c>
      <c r="H73" s="242">
        <v>0.014537037037037038</v>
      </c>
      <c r="I73" s="8">
        <v>3659.0</v>
      </c>
      <c r="J73" s="31">
        <f t="shared" si="5"/>
        <v>13.80754717</v>
      </c>
      <c r="K73" s="8">
        <v>30.0</v>
      </c>
      <c r="L73" s="18">
        <v>45434.0</v>
      </c>
    </row>
    <row r="74">
      <c r="A74" s="8">
        <v>3.0</v>
      </c>
      <c r="B74" s="142" t="s">
        <v>573</v>
      </c>
      <c r="C74" s="18">
        <v>44994.0</v>
      </c>
      <c r="D74" s="8">
        <v>204.0</v>
      </c>
      <c r="E74" s="8">
        <v>122.0</v>
      </c>
      <c r="F74" s="8">
        <v>143.0</v>
      </c>
      <c r="G74" s="16">
        <f t="shared" si="4"/>
        <v>1.172131148</v>
      </c>
      <c r="H74" s="242">
        <v>0.012222222222222223</v>
      </c>
      <c r="I74" s="8">
        <v>1733.0</v>
      </c>
      <c r="J74" s="31">
        <f t="shared" si="5"/>
        <v>12.11888112</v>
      </c>
      <c r="K74" s="8">
        <v>19.0</v>
      </c>
      <c r="L74" s="18">
        <v>45434.0</v>
      </c>
    </row>
    <row r="75">
      <c r="A75" s="8">
        <v>4.0</v>
      </c>
      <c r="B75" s="142" t="s">
        <v>574</v>
      </c>
      <c r="C75" s="18">
        <v>44994.0</v>
      </c>
      <c r="D75" s="8">
        <v>242.0</v>
      </c>
      <c r="E75" s="8">
        <v>139.0</v>
      </c>
      <c r="F75" s="8">
        <v>174.0</v>
      </c>
      <c r="G75" s="16">
        <f t="shared" si="4"/>
        <v>1.251798561</v>
      </c>
      <c r="H75" s="242">
        <v>0.01457175925925926</v>
      </c>
      <c r="I75" s="8">
        <v>2623.0</v>
      </c>
      <c r="J75" s="31">
        <f t="shared" si="5"/>
        <v>15.07471264</v>
      </c>
      <c r="K75" s="8">
        <v>27.0</v>
      </c>
      <c r="L75" s="18">
        <v>45434.0</v>
      </c>
    </row>
    <row r="76">
      <c r="A76" s="8">
        <v>5.0</v>
      </c>
      <c r="B76" s="142" t="s">
        <v>575</v>
      </c>
      <c r="C76" s="18">
        <v>44994.0</v>
      </c>
      <c r="D76" s="8">
        <v>230.0</v>
      </c>
      <c r="E76" s="8">
        <v>129.0</v>
      </c>
      <c r="F76" s="8">
        <v>177.0</v>
      </c>
      <c r="G76" s="16">
        <f t="shared" si="4"/>
        <v>1.372093023</v>
      </c>
      <c r="H76" s="242">
        <v>0.014988425925925926</v>
      </c>
      <c r="I76" s="8">
        <v>2787.0</v>
      </c>
      <c r="J76" s="31">
        <f t="shared" si="5"/>
        <v>15.74576271</v>
      </c>
      <c r="K76" s="8">
        <v>26.0</v>
      </c>
      <c r="L76" s="18">
        <v>45434.0</v>
      </c>
    </row>
    <row r="77">
      <c r="A77" s="8">
        <v>6.0</v>
      </c>
      <c r="B77" s="142" t="s">
        <v>576</v>
      </c>
      <c r="C77" s="18">
        <v>44994.0</v>
      </c>
      <c r="D77" s="8">
        <v>201.0</v>
      </c>
      <c r="E77" s="8">
        <v>119.0</v>
      </c>
      <c r="F77" s="8">
        <v>160.0</v>
      </c>
      <c r="G77" s="16">
        <f t="shared" si="4"/>
        <v>1.344537815</v>
      </c>
      <c r="H77" s="242">
        <v>0.014421296296296297</v>
      </c>
      <c r="I77" s="8">
        <v>2310.0</v>
      </c>
      <c r="J77" s="31">
        <f t="shared" si="5"/>
        <v>14.4375</v>
      </c>
      <c r="K77" s="8">
        <v>25.0</v>
      </c>
      <c r="L77" s="18">
        <v>45434.0</v>
      </c>
    </row>
    <row r="78">
      <c r="A78" s="8">
        <v>7.0</v>
      </c>
      <c r="B78" s="142" t="s">
        <v>577</v>
      </c>
      <c r="C78" s="18">
        <v>44994.0</v>
      </c>
      <c r="D78" s="8">
        <v>120.0</v>
      </c>
      <c r="E78" s="8">
        <v>62.0</v>
      </c>
      <c r="F78" s="8">
        <v>91.0</v>
      </c>
      <c r="G78" s="16">
        <f t="shared" si="4"/>
        <v>1.467741935</v>
      </c>
      <c r="H78" s="242">
        <v>0.013206018518518518</v>
      </c>
      <c r="I78" s="8">
        <v>1316.0</v>
      </c>
      <c r="J78" s="31">
        <f t="shared" si="5"/>
        <v>14.46153846</v>
      </c>
      <c r="K78" s="8">
        <v>21.0</v>
      </c>
      <c r="L78" s="18">
        <v>45434.0</v>
      </c>
    </row>
    <row r="79">
      <c r="A79" s="8">
        <v>8.0</v>
      </c>
      <c r="B79" s="142" t="s">
        <v>578</v>
      </c>
      <c r="C79" s="18">
        <v>44994.0</v>
      </c>
      <c r="D79" s="8">
        <v>169.0</v>
      </c>
      <c r="E79" s="8">
        <v>93.0</v>
      </c>
      <c r="F79" s="8">
        <v>109.0</v>
      </c>
      <c r="G79" s="16">
        <f t="shared" si="4"/>
        <v>1.172043011</v>
      </c>
      <c r="H79" s="242">
        <v>0.014293981481481482</v>
      </c>
      <c r="I79" s="8">
        <v>1716.0</v>
      </c>
      <c r="J79" s="31">
        <f t="shared" si="5"/>
        <v>15.74311927</v>
      </c>
      <c r="K79" s="8">
        <v>33.0</v>
      </c>
      <c r="L79" s="18">
        <v>45434.0</v>
      </c>
    </row>
    <row r="80">
      <c r="A80" s="8">
        <v>9.0</v>
      </c>
      <c r="B80" s="142" t="s">
        <v>579</v>
      </c>
      <c r="C80" s="18">
        <v>44994.0</v>
      </c>
      <c r="D80" s="8">
        <v>65.0</v>
      </c>
      <c r="E80" s="8">
        <v>47.0</v>
      </c>
      <c r="F80" s="8">
        <v>48.0</v>
      </c>
      <c r="G80" s="16">
        <f t="shared" si="4"/>
        <v>1.021276596</v>
      </c>
      <c r="H80" s="242">
        <v>0.006076388888888889</v>
      </c>
      <c r="I80" s="8">
        <v>343.0</v>
      </c>
      <c r="J80" s="31">
        <f t="shared" si="5"/>
        <v>7.145833333</v>
      </c>
      <c r="K80" s="8">
        <v>9.0</v>
      </c>
      <c r="L80" s="18">
        <v>45434.0</v>
      </c>
    </row>
    <row r="81">
      <c r="A81" s="8">
        <v>10.0</v>
      </c>
      <c r="B81" s="142" t="s">
        <v>580</v>
      </c>
      <c r="C81" s="18">
        <v>44994.0</v>
      </c>
      <c r="D81" s="8">
        <v>252.0</v>
      </c>
      <c r="E81" s="8">
        <v>131.0</v>
      </c>
      <c r="F81" s="8">
        <v>166.0</v>
      </c>
      <c r="G81" s="16">
        <f t="shared" si="4"/>
        <v>1.267175573</v>
      </c>
      <c r="H81" s="242">
        <v>0.017025462962962964</v>
      </c>
      <c r="I81" s="8">
        <v>3040.0</v>
      </c>
      <c r="J81" s="31">
        <f t="shared" si="5"/>
        <v>18.31325301</v>
      </c>
      <c r="K81" s="8">
        <v>37.0</v>
      </c>
      <c r="L81" s="18">
        <v>45434.0</v>
      </c>
    </row>
    <row r="82">
      <c r="A82" s="8">
        <v>11.0</v>
      </c>
      <c r="B82" s="142" t="s">
        <v>581</v>
      </c>
      <c r="C82" s="18">
        <v>44994.0</v>
      </c>
      <c r="D82" s="8">
        <v>152.0</v>
      </c>
      <c r="E82" s="8">
        <v>84.0</v>
      </c>
      <c r="F82" s="8">
        <v>99.0</v>
      </c>
      <c r="G82" s="16">
        <f t="shared" si="4"/>
        <v>1.178571429</v>
      </c>
      <c r="H82" s="242">
        <v>0.022199074074074072</v>
      </c>
      <c r="I82" s="8">
        <v>1772.0</v>
      </c>
      <c r="J82" s="31">
        <f t="shared" si="5"/>
        <v>17.8989899</v>
      </c>
      <c r="K82" s="8">
        <v>34.0</v>
      </c>
      <c r="L82" s="18">
        <v>45434.0</v>
      </c>
    </row>
    <row r="83">
      <c r="A83" s="8">
        <v>12.0</v>
      </c>
      <c r="B83" s="142" t="s">
        <v>582</v>
      </c>
      <c r="C83" s="18">
        <v>44994.0</v>
      </c>
      <c r="D83" s="8">
        <v>64.0</v>
      </c>
      <c r="E83" s="8">
        <v>51.0</v>
      </c>
      <c r="F83" s="8">
        <v>50.0</v>
      </c>
      <c r="G83" s="16">
        <f t="shared" si="4"/>
        <v>0.9803921569</v>
      </c>
      <c r="H83" s="242">
        <v>0.003599537037037037</v>
      </c>
      <c r="I83" s="8">
        <v>210.0</v>
      </c>
      <c r="J83" s="31">
        <f t="shared" si="5"/>
        <v>4.2</v>
      </c>
      <c r="K83" s="8">
        <v>5.0</v>
      </c>
      <c r="L83" s="18">
        <v>45434.0</v>
      </c>
    </row>
    <row r="84">
      <c r="B84" s="7" t="s">
        <v>583</v>
      </c>
      <c r="C84" s="17"/>
      <c r="D84" s="7">
        <f>SUM(D72:D83)</f>
        <v>4199</v>
      </c>
      <c r="E84" s="7">
        <v>1019.0</v>
      </c>
      <c r="F84" s="7">
        <f>SUM(F72:F83)</f>
        <v>2069</v>
      </c>
      <c r="G84" s="17"/>
      <c r="H84" s="17"/>
      <c r="I84" s="7">
        <f>SUM(I72:I83)</f>
        <v>26520</v>
      </c>
      <c r="J84" s="17"/>
      <c r="K84" s="17"/>
      <c r="L84" s="17"/>
    </row>
    <row r="88">
      <c r="A88" s="267" t="s">
        <v>563</v>
      </c>
      <c r="B88" s="95"/>
    </row>
    <row r="89">
      <c r="A89" s="268" t="s">
        <v>8</v>
      </c>
      <c r="B89" s="269">
        <v>45587.0</v>
      </c>
    </row>
    <row r="90">
      <c r="A90" s="268" t="s">
        <v>564</v>
      </c>
      <c r="B90" s="268">
        <v>2865.0</v>
      </c>
    </row>
    <row r="91">
      <c r="A91" s="268" t="s">
        <v>565</v>
      </c>
      <c r="B91" s="268">
        <v>742.0</v>
      </c>
    </row>
    <row r="92">
      <c r="A92" s="268" t="s">
        <v>19</v>
      </c>
      <c r="B92" s="268">
        <v>350.0</v>
      </c>
    </row>
    <row r="93">
      <c r="A93" s="268" t="s">
        <v>566</v>
      </c>
      <c r="B93" s="268">
        <v>154.0</v>
      </c>
    </row>
  </sheetData>
  <hyperlinks>
    <hyperlink r:id="rId1" ref="G3"/>
    <hyperlink r:id="rId2" ref="H3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72"/>
    <hyperlink r:id="rId20" ref="B73"/>
    <hyperlink r:id="rId21" ref="B74"/>
    <hyperlink r:id="rId22" ref="B75"/>
    <hyperlink r:id="rId23" ref="B76"/>
    <hyperlink r:id="rId24" ref="B77"/>
    <hyperlink r:id="rId25" ref="B78"/>
    <hyperlink r:id="rId26" ref="B79"/>
    <hyperlink r:id="rId27" ref="B80"/>
    <hyperlink r:id="rId28" ref="B81"/>
    <hyperlink r:id="rId29" ref="B82"/>
    <hyperlink r:id="rId30" ref="B83"/>
  </hyperlinks>
  <drawing r:id="rId3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75"/>
  </cols>
  <sheetData>
    <row r="1">
      <c r="A1" s="7" t="s">
        <v>479</v>
      </c>
      <c r="B1" s="243"/>
      <c r="C1" s="244"/>
      <c r="D1" s="244"/>
      <c r="E1" s="244"/>
      <c r="F1" s="244"/>
      <c r="G1" s="244"/>
      <c r="H1" s="72"/>
      <c r="I1" s="244"/>
      <c r="J1" s="244"/>
      <c r="K1" s="245"/>
      <c r="L1" s="35"/>
      <c r="M1" s="35"/>
    </row>
    <row r="2">
      <c r="A2" s="7" t="s">
        <v>480</v>
      </c>
      <c r="B2" s="243"/>
      <c r="C2" s="244"/>
      <c r="D2" s="244"/>
      <c r="E2" s="244"/>
      <c r="F2" s="244"/>
      <c r="G2" s="244"/>
      <c r="H2" s="244"/>
      <c r="I2" s="244"/>
      <c r="J2" s="244"/>
      <c r="K2" s="245"/>
      <c r="L2" s="35"/>
      <c r="M2" s="35"/>
    </row>
    <row r="3">
      <c r="A3" s="7" t="s">
        <v>542</v>
      </c>
      <c r="B3" s="243"/>
      <c r="C3" s="99" t="s">
        <v>17</v>
      </c>
      <c r="D3" s="246"/>
      <c r="E3" s="101" t="s">
        <v>339</v>
      </c>
      <c r="F3" s="102"/>
      <c r="G3" s="103" t="s">
        <v>340</v>
      </c>
      <c r="H3" s="103" t="s">
        <v>341</v>
      </c>
      <c r="I3" s="244"/>
      <c r="J3" s="244"/>
      <c r="K3" s="245"/>
      <c r="L3" s="35"/>
      <c r="M3" s="35"/>
    </row>
    <row r="4">
      <c r="A4" s="165" t="s">
        <v>342</v>
      </c>
      <c r="B4" s="166" t="s">
        <v>316</v>
      </c>
      <c r="C4" s="167" t="s">
        <v>343</v>
      </c>
      <c r="D4" s="167" t="s">
        <v>57</v>
      </c>
      <c r="E4" s="167" t="s">
        <v>344</v>
      </c>
      <c r="F4" s="167" t="s">
        <v>345</v>
      </c>
      <c r="G4" s="167" t="s">
        <v>346</v>
      </c>
      <c r="H4" s="167" t="s">
        <v>19</v>
      </c>
      <c r="I4" s="167" t="s">
        <v>347</v>
      </c>
      <c r="J4" s="167" t="s">
        <v>348</v>
      </c>
      <c r="K4" s="33" t="s">
        <v>349</v>
      </c>
      <c r="L4" s="34" t="s">
        <v>402</v>
      </c>
      <c r="M4" s="34" t="s">
        <v>350</v>
      </c>
    </row>
    <row r="5">
      <c r="A5" s="168">
        <v>1.0</v>
      </c>
      <c r="B5" s="204" t="s">
        <v>543</v>
      </c>
      <c r="C5" s="70"/>
      <c r="D5" s="70"/>
      <c r="E5" s="70"/>
      <c r="F5" s="70"/>
      <c r="G5" s="205"/>
      <c r="H5" s="247"/>
      <c r="I5" s="72"/>
      <c r="J5" s="205" t="str">
        <f t="shared" ref="J5:J20" si="1">I5/H5</f>
        <v>#DIV/0!</v>
      </c>
      <c r="K5" s="207" t="s">
        <v>319</v>
      </c>
      <c r="L5" s="74"/>
      <c r="M5" s="161"/>
    </row>
    <row r="6">
      <c r="A6" s="170">
        <v>2.0</v>
      </c>
      <c r="B6" s="204" t="s">
        <v>544</v>
      </c>
      <c r="C6" s="58"/>
      <c r="D6" s="58"/>
      <c r="E6" s="248"/>
      <c r="F6" s="58"/>
      <c r="G6" s="205"/>
      <c r="H6" s="247"/>
      <c r="I6" s="72"/>
      <c r="J6" s="205" t="str">
        <f t="shared" si="1"/>
        <v>#DIV/0!</v>
      </c>
      <c r="K6" s="207" t="s">
        <v>321</v>
      </c>
      <c r="L6" s="74"/>
      <c r="M6" s="38"/>
    </row>
    <row r="7">
      <c r="A7" s="249">
        <v>3.0</v>
      </c>
      <c r="B7" s="210" t="s">
        <v>546</v>
      </c>
      <c r="C7" s="81"/>
      <c r="D7" s="81"/>
      <c r="E7" s="81"/>
      <c r="F7" s="81"/>
      <c r="G7" s="250"/>
      <c r="H7" s="251"/>
      <c r="I7" s="83"/>
      <c r="J7" s="211" t="str">
        <f t="shared" si="1"/>
        <v>#DIV/0!</v>
      </c>
      <c r="K7" s="213" t="s">
        <v>323</v>
      </c>
      <c r="L7" s="85"/>
      <c r="M7" s="85"/>
    </row>
    <row r="8">
      <c r="A8" s="174">
        <v>4.0</v>
      </c>
      <c r="B8" s="215" t="s">
        <v>548</v>
      </c>
      <c r="C8" s="88"/>
      <c r="D8" s="88"/>
      <c r="E8" s="88"/>
      <c r="F8" s="88"/>
      <c r="G8" s="216"/>
      <c r="H8" s="252"/>
      <c r="I8" s="90"/>
      <c r="J8" s="216" t="str">
        <f t="shared" si="1"/>
        <v>#DIV/0!</v>
      </c>
      <c r="K8" s="218" t="s">
        <v>326</v>
      </c>
      <c r="L8" s="92"/>
      <c r="M8" s="175"/>
    </row>
    <row r="9">
      <c r="A9" s="168">
        <v>5.0</v>
      </c>
      <c r="B9" s="204" t="s">
        <v>549</v>
      </c>
      <c r="C9" s="70"/>
      <c r="D9" s="70"/>
      <c r="E9" s="70"/>
      <c r="F9" s="70"/>
      <c r="G9" s="205"/>
      <c r="H9" s="247"/>
      <c r="I9" s="72"/>
      <c r="J9" s="205" t="str">
        <f t="shared" si="1"/>
        <v>#DIV/0!</v>
      </c>
      <c r="K9" s="207" t="s">
        <v>319</v>
      </c>
      <c r="L9" s="74"/>
      <c r="M9" s="161"/>
    </row>
    <row r="10">
      <c r="A10" s="168">
        <v>6.0</v>
      </c>
      <c r="B10" s="204" t="s">
        <v>550</v>
      </c>
      <c r="C10" s="70"/>
      <c r="D10" s="70"/>
      <c r="E10" s="70"/>
      <c r="F10" s="70"/>
      <c r="G10" s="205"/>
      <c r="H10" s="247"/>
      <c r="I10" s="72"/>
      <c r="J10" s="205" t="str">
        <f t="shared" si="1"/>
        <v>#DIV/0!</v>
      </c>
      <c r="K10" s="207" t="s">
        <v>321</v>
      </c>
      <c r="L10" s="74"/>
      <c r="M10" s="161"/>
    </row>
    <row r="11">
      <c r="A11" s="249">
        <v>7.0</v>
      </c>
      <c r="B11" s="210" t="s">
        <v>551</v>
      </c>
      <c r="C11" s="81"/>
      <c r="D11" s="81"/>
      <c r="E11" s="81"/>
      <c r="F11" s="81"/>
      <c r="G11" s="250"/>
      <c r="H11" s="251"/>
      <c r="I11" s="83"/>
      <c r="J11" s="211" t="str">
        <f t="shared" si="1"/>
        <v>#DIV/0!</v>
      </c>
      <c r="K11" s="213" t="s">
        <v>323</v>
      </c>
      <c r="L11" s="85"/>
      <c r="M11" s="85"/>
    </row>
    <row r="12">
      <c r="A12" s="174">
        <v>8.0</v>
      </c>
      <c r="B12" s="215" t="s">
        <v>553</v>
      </c>
      <c r="C12" s="88"/>
      <c r="D12" s="88"/>
      <c r="E12" s="88"/>
      <c r="F12" s="88"/>
      <c r="G12" s="216"/>
      <c r="H12" s="252"/>
      <c r="I12" s="90"/>
      <c r="J12" s="216" t="str">
        <f t="shared" si="1"/>
        <v>#DIV/0!</v>
      </c>
      <c r="K12" s="218" t="s">
        <v>326</v>
      </c>
      <c r="L12" s="175"/>
      <c r="M12" s="175"/>
    </row>
    <row r="13">
      <c r="A13" s="168">
        <v>9.0</v>
      </c>
      <c r="B13" s="204" t="s">
        <v>554</v>
      </c>
      <c r="C13" s="70"/>
      <c r="D13" s="70"/>
      <c r="E13" s="70"/>
      <c r="F13" s="70"/>
      <c r="G13" s="205"/>
      <c r="H13" s="247"/>
      <c r="I13" s="72"/>
      <c r="J13" s="205" t="str">
        <f t="shared" si="1"/>
        <v>#DIV/0!</v>
      </c>
      <c r="K13" s="207" t="s">
        <v>319</v>
      </c>
      <c r="L13" s="74"/>
      <c r="M13" s="161"/>
    </row>
    <row r="14">
      <c r="A14" s="168">
        <v>10.0</v>
      </c>
      <c r="B14" s="204" t="s">
        <v>555</v>
      </c>
      <c r="C14" s="70"/>
      <c r="D14" s="70"/>
      <c r="E14" s="70"/>
      <c r="F14" s="70"/>
      <c r="G14" s="205"/>
      <c r="H14" s="247"/>
      <c r="I14" s="72"/>
      <c r="J14" s="205" t="str">
        <f t="shared" si="1"/>
        <v>#DIV/0!</v>
      </c>
      <c r="K14" s="207" t="s">
        <v>321</v>
      </c>
      <c r="L14" s="74"/>
      <c r="M14" s="161"/>
    </row>
    <row r="15">
      <c r="A15" s="249">
        <v>11.0</v>
      </c>
      <c r="B15" s="210" t="s">
        <v>556</v>
      </c>
      <c r="C15" s="80"/>
      <c r="D15" s="80"/>
      <c r="E15" s="80"/>
      <c r="F15" s="80"/>
      <c r="G15" s="211"/>
      <c r="H15" s="251"/>
      <c r="I15" s="83"/>
      <c r="J15" s="211" t="str">
        <f t="shared" si="1"/>
        <v>#DIV/0!</v>
      </c>
      <c r="K15" s="213" t="s">
        <v>323</v>
      </c>
      <c r="L15" s="85"/>
      <c r="M15" s="85"/>
    </row>
    <row r="16">
      <c r="A16" s="174">
        <v>12.0</v>
      </c>
      <c r="B16" s="87" t="s">
        <v>498</v>
      </c>
      <c r="C16" s="88"/>
      <c r="D16" s="88"/>
      <c r="E16" s="88"/>
      <c r="F16" s="88"/>
      <c r="G16" s="216"/>
      <c r="H16" s="252"/>
      <c r="I16" s="90"/>
      <c r="J16" s="216" t="str">
        <f t="shared" si="1"/>
        <v>#DIV/0!</v>
      </c>
      <c r="K16" s="218" t="s">
        <v>326</v>
      </c>
      <c r="L16" s="175"/>
      <c r="M16" s="175"/>
    </row>
    <row r="17">
      <c r="A17" s="168">
        <v>13.0</v>
      </c>
      <c r="B17" s="204" t="s">
        <v>558</v>
      </c>
      <c r="C17" s="70"/>
      <c r="D17" s="70"/>
      <c r="E17" s="70"/>
      <c r="F17" s="70"/>
      <c r="G17" s="205"/>
      <c r="H17" s="247"/>
      <c r="I17" s="72"/>
      <c r="J17" s="205" t="str">
        <f t="shared" si="1"/>
        <v>#DIV/0!</v>
      </c>
      <c r="K17" s="207" t="s">
        <v>319</v>
      </c>
      <c r="L17" s="74"/>
      <c r="M17" s="161"/>
    </row>
    <row r="18">
      <c r="A18" s="168">
        <v>14.0</v>
      </c>
      <c r="B18" s="204" t="s">
        <v>559</v>
      </c>
      <c r="C18" s="70"/>
      <c r="D18" s="70"/>
      <c r="E18" s="70"/>
      <c r="F18" s="70"/>
      <c r="G18" s="205"/>
      <c r="H18" s="247"/>
      <c r="I18" s="72"/>
      <c r="J18" s="205" t="str">
        <f t="shared" si="1"/>
        <v>#DIV/0!</v>
      </c>
      <c r="K18" s="207" t="s">
        <v>321</v>
      </c>
      <c r="L18" s="74"/>
      <c r="M18" s="161"/>
    </row>
    <row r="19">
      <c r="A19" s="257">
        <v>15.0</v>
      </c>
      <c r="B19" s="258" t="s">
        <v>560</v>
      </c>
      <c r="C19" s="259"/>
      <c r="D19" s="259"/>
      <c r="E19" s="259"/>
      <c r="F19" s="259"/>
      <c r="G19" s="261"/>
      <c r="H19" s="262"/>
      <c r="I19" s="263"/>
      <c r="J19" s="261" t="str">
        <f t="shared" si="1"/>
        <v>#DIV/0!</v>
      </c>
      <c r="K19" s="264" t="s">
        <v>321</v>
      </c>
      <c r="L19" s="265"/>
      <c r="M19" s="265"/>
    </row>
    <row r="20">
      <c r="A20" s="174">
        <v>16.0</v>
      </c>
      <c r="B20" s="215" t="s">
        <v>561</v>
      </c>
      <c r="C20" s="88"/>
      <c r="D20" s="88"/>
      <c r="E20" s="88"/>
      <c r="F20" s="88"/>
      <c r="G20" s="216"/>
      <c r="H20" s="252"/>
      <c r="I20" s="90"/>
      <c r="J20" s="216" t="str">
        <f t="shared" si="1"/>
        <v>#DIV/0!</v>
      </c>
      <c r="K20" s="220" t="s">
        <v>326</v>
      </c>
      <c r="L20" s="175"/>
      <c r="M20" s="175"/>
    </row>
    <row r="21">
      <c r="A21" s="178"/>
      <c r="B21" s="179"/>
      <c r="C21" s="180">
        <v>4561.0</v>
      </c>
      <c r="D21" s="180">
        <v>1018.0</v>
      </c>
      <c r="E21" s="221"/>
      <c r="F21" s="221"/>
      <c r="G21" s="178"/>
      <c r="H21" s="178"/>
      <c r="I21" s="178"/>
      <c r="J21" s="178"/>
      <c r="K21" s="222" t="s">
        <v>364</v>
      </c>
      <c r="L21" s="182"/>
      <c r="M21" s="224"/>
    </row>
    <row r="22">
      <c r="A22" s="75"/>
      <c r="B22" s="73"/>
      <c r="C22" s="75"/>
      <c r="D22" s="75"/>
      <c r="E22" s="75"/>
      <c r="F22" s="75"/>
      <c r="G22" s="75"/>
      <c r="H22" s="75"/>
      <c r="I22" s="75"/>
      <c r="J22" s="75"/>
      <c r="K22" s="253" t="s">
        <v>403</v>
      </c>
      <c r="L22" s="74"/>
      <c r="M22" s="161"/>
    </row>
    <row r="23">
      <c r="A23" s="185" t="s">
        <v>365</v>
      </c>
      <c r="B23" s="185" t="s">
        <v>366</v>
      </c>
      <c r="C23" s="185" t="s">
        <v>367</v>
      </c>
      <c r="D23" s="185" t="s">
        <v>11</v>
      </c>
      <c r="E23" s="185" t="s">
        <v>19</v>
      </c>
      <c r="F23" s="185" t="s">
        <v>368</v>
      </c>
      <c r="G23" s="186" t="s">
        <v>369</v>
      </c>
      <c r="H23" s="187"/>
      <c r="I23" s="188"/>
      <c r="J23" s="75"/>
      <c r="K23" s="35"/>
      <c r="L23" s="208"/>
      <c r="M23" s="161"/>
    </row>
    <row r="24">
      <c r="A24" s="191">
        <v>2024.0</v>
      </c>
      <c r="B24" s="191">
        <v>1401.0</v>
      </c>
      <c r="C24" s="191">
        <v>424.0</v>
      </c>
      <c r="D24" s="192">
        <f>C24/B24</f>
        <v>0.3026409707</v>
      </c>
      <c r="E24" s="191"/>
      <c r="F24" s="191"/>
      <c r="G24" s="7"/>
      <c r="H24" s="7"/>
      <c r="I24" s="7"/>
      <c r="J24" s="75"/>
      <c r="K24" s="35"/>
      <c r="L24" s="208"/>
      <c r="M24" s="161"/>
    </row>
  </sheetData>
  <hyperlinks>
    <hyperlink r:id="rId1" ref="G3"/>
    <hyperlink r:id="rId2" ref="H3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</hyperlinks>
  <drawing r:id="rId19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2.5"/>
    <col customWidth="1" min="12" max="12" width="14.25"/>
  </cols>
  <sheetData>
    <row r="1">
      <c r="A1" s="7"/>
      <c r="B1" s="189"/>
      <c r="C1" s="7"/>
      <c r="D1" s="7"/>
      <c r="E1" s="7"/>
      <c r="F1" s="7"/>
      <c r="G1" s="7"/>
      <c r="H1" s="7"/>
      <c r="I1" s="7"/>
      <c r="J1" s="7"/>
    </row>
    <row r="2">
      <c r="A2" s="162" t="s">
        <v>584</v>
      </c>
      <c r="B2" s="189"/>
      <c r="C2" s="7"/>
      <c r="D2" s="7"/>
      <c r="E2" s="7"/>
      <c r="F2" s="7"/>
      <c r="G2" s="7"/>
      <c r="H2" s="7"/>
      <c r="I2" s="7"/>
      <c r="J2" s="7"/>
    </row>
    <row r="3">
      <c r="A3" s="162" t="s">
        <v>585</v>
      </c>
      <c r="B3" s="189"/>
      <c r="C3" s="7"/>
      <c r="D3" s="7"/>
      <c r="E3" s="7"/>
      <c r="F3" s="7"/>
      <c r="G3" s="7"/>
      <c r="H3" s="7"/>
      <c r="I3" s="7"/>
      <c r="J3" s="7"/>
    </row>
    <row r="4">
      <c r="A4" s="7"/>
      <c r="B4" s="189"/>
      <c r="C4" s="201"/>
      <c r="D4" s="202"/>
      <c r="E4" s="101" t="s">
        <v>339</v>
      </c>
      <c r="F4" s="102">
        <v>46112.0</v>
      </c>
      <c r="G4" s="270" t="s">
        <v>340</v>
      </c>
      <c r="H4" s="270" t="s">
        <v>401</v>
      </c>
      <c r="I4" s="7"/>
      <c r="J4" s="7"/>
    </row>
    <row r="5">
      <c r="A5" s="165" t="s">
        <v>342</v>
      </c>
      <c r="B5" s="166" t="s">
        <v>316</v>
      </c>
      <c r="C5" s="167" t="s">
        <v>343</v>
      </c>
      <c r="D5" s="167" t="s">
        <v>57</v>
      </c>
      <c r="E5" s="167" t="s">
        <v>344</v>
      </c>
      <c r="F5" s="167" t="s">
        <v>345</v>
      </c>
      <c r="G5" s="167" t="s">
        <v>346</v>
      </c>
      <c r="H5" s="167" t="s">
        <v>19</v>
      </c>
      <c r="I5" s="167" t="s">
        <v>347</v>
      </c>
      <c r="J5" s="167" t="s">
        <v>348</v>
      </c>
      <c r="K5" s="33" t="s">
        <v>349</v>
      </c>
      <c r="L5" s="34" t="s">
        <v>402</v>
      </c>
      <c r="M5" s="34" t="s">
        <v>350</v>
      </c>
    </row>
    <row r="6">
      <c r="A6" s="271">
        <v>1.0</v>
      </c>
      <c r="B6" s="204" t="s">
        <v>586</v>
      </c>
      <c r="C6" s="70"/>
      <c r="D6" s="70"/>
      <c r="E6" s="70"/>
      <c r="F6" s="70"/>
      <c r="G6" s="205"/>
      <c r="H6" s="72"/>
      <c r="I6" s="72"/>
      <c r="J6" s="205"/>
      <c r="K6" s="207"/>
      <c r="L6" s="74">
        <v>350.0</v>
      </c>
      <c r="M6" s="161"/>
    </row>
    <row r="7">
      <c r="A7" s="272">
        <v>2.0</v>
      </c>
      <c r="B7" s="204" t="s">
        <v>587</v>
      </c>
      <c r="C7" s="58"/>
      <c r="D7" s="58"/>
      <c r="E7" s="58"/>
      <c r="F7" s="58"/>
      <c r="G7" s="205"/>
      <c r="H7" s="72"/>
      <c r="I7" s="72"/>
      <c r="J7" s="273"/>
      <c r="K7" s="207"/>
      <c r="L7" s="55"/>
      <c r="M7" s="38"/>
    </row>
    <row r="8">
      <c r="A8" s="271">
        <v>3.0</v>
      </c>
      <c r="B8" s="274" t="s">
        <v>588</v>
      </c>
      <c r="C8" s="70"/>
      <c r="D8" s="275"/>
      <c r="E8" s="70"/>
      <c r="F8" s="70"/>
      <c r="G8" s="205"/>
      <c r="H8" s="72"/>
      <c r="I8" s="72"/>
      <c r="J8" s="205"/>
      <c r="K8" s="207"/>
      <c r="L8" s="74"/>
      <c r="M8" s="208"/>
    </row>
    <row r="9">
      <c r="A9" s="276">
        <v>4.0</v>
      </c>
      <c r="B9" s="215" t="s">
        <v>548</v>
      </c>
      <c r="C9" s="88"/>
      <c r="D9" s="88"/>
      <c r="E9" s="88"/>
      <c r="F9" s="88"/>
      <c r="G9" s="216"/>
      <c r="H9" s="90"/>
      <c r="I9" s="90"/>
      <c r="J9" s="89"/>
      <c r="K9" s="218"/>
      <c r="L9" s="175"/>
      <c r="M9" s="175"/>
    </row>
    <row r="10">
      <c r="A10" s="271">
        <v>5.0</v>
      </c>
      <c r="B10" s="204" t="s">
        <v>589</v>
      </c>
      <c r="C10" s="70"/>
      <c r="D10" s="70"/>
      <c r="E10" s="70"/>
      <c r="F10" s="70"/>
      <c r="G10" s="205"/>
      <c r="H10" s="72"/>
      <c r="I10" s="72"/>
      <c r="J10" s="205"/>
      <c r="K10" s="207"/>
      <c r="L10" s="74">
        <v>350.0</v>
      </c>
      <c r="M10" s="161"/>
    </row>
    <row r="11">
      <c r="A11" s="271">
        <v>6.0</v>
      </c>
      <c r="B11" s="204" t="s">
        <v>590</v>
      </c>
      <c r="C11" s="70"/>
      <c r="D11" s="70"/>
      <c r="E11" s="70"/>
      <c r="F11" s="70"/>
      <c r="G11" s="205"/>
      <c r="H11" s="72"/>
      <c r="I11" s="72"/>
      <c r="J11" s="273"/>
      <c r="K11" s="207"/>
      <c r="L11" s="55"/>
      <c r="M11" s="161"/>
    </row>
    <row r="12">
      <c r="A12" s="271">
        <v>7.0</v>
      </c>
      <c r="B12" s="274" t="s">
        <v>591</v>
      </c>
      <c r="C12" s="70"/>
      <c r="D12" s="275"/>
      <c r="E12" s="70"/>
      <c r="F12" s="70"/>
      <c r="G12" s="205"/>
      <c r="H12" s="72"/>
      <c r="I12" s="72"/>
      <c r="J12" s="205"/>
      <c r="K12" s="207"/>
      <c r="L12" s="74"/>
      <c r="M12" s="208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</row>
    <row r="13">
      <c r="A13" s="276">
        <v>8.0</v>
      </c>
      <c r="B13" s="215" t="s">
        <v>553</v>
      </c>
      <c r="C13" s="88"/>
      <c r="D13" s="88"/>
      <c r="E13" s="88"/>
      <c r="F13" s="88"/>
      <c r="G13" s="216"/>
      <c r="H13" s="90"/>
      <c r="I13" s="90"/>
      <c r="J13" s="89"/>
      <c r="K13" s="218"/>
      <c r="L13" s="175"/>
      <c r="M13" s="175"/>
    </row>
    <row r="14">
      <c r="A14" s="271">
        <v>9.0</v>
      </c>
      <c r="B14" s="204" t="s">
        <v>592</v>
      </c>
      <c r="C14" s="70"/>
      <c r="D14" s="70"/>
      <c r="E14" s="70"/>
      <c r="F14" s="70"/>
      <c r="G14" s="205"/>
      <c r="H14" s="72"/>
      <c r="I14" s="72"/>
      <c r="J14" s="205"/>
      <c r="K14" s="207"/>
      <c r="L14" s="74">
        <v>350.0</v>
      </c>
      <c r="M14" s="161"/>
    </row>
    <row r="15">
      <c r="A15" s="271">
        <v>10.0</v>
      </c>
      <c r="B15" s="204" t="s">
        <v>593</v>
      </c>
      <c r="C15" s="70"/>
      <c r="D15" s="70"/>
      <c r="E15" s="70"/>
      <c r="F15" s="70"/>
      <c r="G15" s="205"/>
      <c r="H15" s="72"/>
      <c r="I15" s="72"/>
      <c r="J15" s="273"/>
      <c r="K15" s="207"/>
      <c r="L15" s="55"/>
      <c r="M15" s="161"/>
    </row>
    <row r="16">
      <c r="A16" s="272">
        <v>11.0</v>
      </c>
      <c r="B16" s="204" t="s">
        <v>594</v>
      </c>
      <c r="C16" s="58"/>
      <c r="D16" s="219"/>
      <c r="E16" s="58"/>
      <c r="F16" s="58"/>
      <c r="G16" s="205"/>
      <c r="H16" s="72"/>
      <c r="I16" s="72"/>
      <c r="J16" s="205"/>
      <c r="K16" s="207"/>
      <c r="L16" s="74"/>
      <c r="M16" s="41"/>
    </row>
    <row r="17">
      <c r="A17" s="276">
        <v>12.0</v>
      </c>
      <c r="B17" s="215" t="s">
        <v>498</v>
      </c>
      <c r="C17" s="88"/>
      <c r="D17" s="88"/>
      <c r="E17" s="88"/>
      <c r="F17" s="88"/>
      <c r="G17" s="216"/>
      <c r="H17" s="90"/>
      <c r="I17" s="90"/>
      <c r="J17" s="89"/>
      <c r="K17" s="218"/>
      <c r="L17" s="175"/>
      <c r="M17" s="175"/>
    </row>
    <row r="18">
      <c r="A18" s="271">
        <v>13.0</v>
      </c>
      <c r="B18" s="204" t="s">
        <v>595</v>
      </c>
      <c r="C18" s="70"/>
      <c r="D18" s="70"/>
      <c r="E18" s="70"/>
      <c r="F18" s="70"/>
      <c r="G18" s="205"/>
      <c r="H18" s="72"/>
      <c r="I18" s="72"/>
      <c r="J18" s="205"/>
      <c r="K18" s="207"/>
      <c r="L18" s="74">
        <v>350.0</v>
      </c>
      <c r="M18" s="161"/>
    </row>
    <row r="19">
      <c r="A19" s="271">
        <v>14.0</v>
      </c>
      <c r="B19" s="204" t="s">
        <v>596</v>
      </c>
      <c r="C19" s="70"/>
      <c r="D19" s="70"/>
      <c r="E19" s="70"/>
      <c r="F19" s="70"/>
      <c r="G19" s="205"/>
      <c r="H19" s="72"/>
      <c r="I19" s="72"/>
      <c r="J19" s="273"/>
      <c r="K19" s="207"/>
      <c r="L19" s="55"/>
      <c r="M19" s="161"/>
    </row>
    <row r="20">
      <c r="A20" s="272">
        <v>15.0</v>
      </c>
      <c r="B20" s="204" t="s">
        <v>597</v>
      </c>
      <c r="C20" s="58"/>
      <c r="D20" s="219"/>
      <c r="E20" s="58"/>
      <c r="F20" s="58"/>
      <c r="G20" s="205"/>
      <c r="H20" s="72"/>
      <c r="I20" s="72"/>
      <c r="J20" s="205"/>
      <c r="K20" s="207"/>
      <c r="L20" s="74"/>
      <c r="M20" s="41"/>
    </row>
    <row r="21">
      <c r="A21" s="276">
        <v>16.0</v>
      </c>
      <c r="B21" s="215" t="s">
        <v>561</v>
      </c>
      <c r="C21" s="88"/>
      <c r="D21" s="88"/>
      <c r="E21" s="88"/>
      <c r="F21" s="88"/>
      <c r="G21" s="216"/>
      <c r="H21" s="90"/>
      <c r="I21" s="90"/>
      <c r="J21" s="89"/>
      <c r="K21" s="220"/>
      <c r="L21" s="175"/>
      <c r="M21" s="175"/>
    </row>
    <row r="22">
      <c r="A22" s="178"/>
      <c r="B22" s="179"/>
      <c r="C22" s="180"/>
      <c r="D22" s="180"/>
      <c r="E22" s="221"/>
      <c r="F22" s="221"/>
      <c r="G22" s="178"/>
      <c r="H22" s="178"/>
      <c r="I22" s="178"/>
      <c r="J22" s="178"/>
      <c r="K22" s="277" t="s">
        <v>364</v>
      </c>
      <c r="L22" s="182">
        <v>350.0</v>
      </c>
      <c r="M22" s="224">
        <v>1000.0</v>
      </c>
    </row>
    <row r="23">
      <c r="A23" s="75"/>
      <c r="B23" s="73"/>
      <c r="C23" s="75"/>
      <c r="D23" s="75"/>
      <c r="E23" s="75"/>
      <c r="F23" s="75"/>
      <c r="G23" s="75"/>
      <c r="H23" s="75"/>
      <c r="I23" s="75"/>
      <c r="J23" s="75"/>
      <c r="K23" s="35" t="s">
        <v>403</v>
      </c>
      <c r="L23" s="208">
        <f>SUM(L6:L22)</f>
        <v>1750</v>
      </c>
      <c r="M23" s="161"/>
    </row>
    <row r="24">
      <c r="A24" s="7"/>
      <c r="B24" s="189"/>
      <c r="C24" s="7"/>
      <c r="D24" s="7"/>
      <c r="E24" s="7"/>
      <c r="F24" s="7"/>
      <c r="G24" s="7"/>
      <c r="H24" s="7"/>
      <c r="I24" s="7"/>
      <c r="J24" s="7"/>
    </row>
    <row r="25">
      <c r="A25" s="225" t="s">
        <v>365</v>
      </c>
      <c r="B25" s="226" t="s">
        <v>366</v>
      </c>
      <c r="C25" s="225" t="s">
        <v>367</v>
      </c>
      <c r="D25" s="225" t="s">
        <v>11</v>
      </c>
      <c r="E25" s="225" t="s">
        <v>19</v>
      </c>
      <c r="F25" s="225" t="s">
        <v>368</v>
      </c>
      <c r="G25" s="227" t="s">
        <v>369</v>
      </c>
      <c r="H25" s="228" t="s">
        <v>598</v>
      </c>
      <c r="I25" s="278" t="s">
        <v>598</v>
      </c>
      <c r="J25" s="7"/>
    </row>
    <row r="26">
      <c r="A26" s="230">
        <v>2025.0</v>
      </c>
      <c r="B26" s="231">
        <v>1400.0</v>
      </c>
      <c r="C26" s="232">
        <v>424.0</v>
      </c>
      <c r="D26" s="233">
        <f>C26/B26</f>
        <v>0.3028571429</v>
      </c>
      <c r="E26" s="232">
        <v>373.0</v>
      </c>
      <c r="F26" s="234">
        <v>163.0</v>
      </c>
      <c r="G26" s="235"/>
      <c r="H26" s="235"/>
      <c r="I26" s="235"/>
      <c r="J26" s="7"/>
    </row>
  </sheetData>
  <hyperlinks>
    <hyperlink r:id="rId1" ref="B6"/>
    <hyperlink r:id="rId2" ref="B7"/>
    <hyperlink r:id="rId3" ref="B8"/>
    <hyperlink r:id="rId4" ref="B9"/>
    <hyperlink r:id="rId5" ref="B10"/>
    <hyperlink r:id="rId6" ref="B11"/>
    <hyperlink r:id="rId7" ref="B12"/>
    <hyperlink r:id="rId8" ref="B13"/>
    <hyperlink r:id="rId9" ref="B14"/>
    <hyperlink r:id="rId10" ref="B15"/>
    <hyperlink r:id="rId11" ref="B16"/>
    <hyperlink r:id="rId12" ref="B17"/>
    <hyperlink r:id="rId13" ref="B18"/>
    <hyperlink r:id="rId14" ref="B19"/>
    <hyperlink r:id="rId15" ref="B20"/>
    <hyperlink r:id="rId16" ref="B21"/>
  </hyperlinks>
  <drawing r:id="rId17"/>
</worksheet>
</file>