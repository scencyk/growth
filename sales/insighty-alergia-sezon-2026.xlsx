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ch alergologiczny" sheetId="1" state="visible" r:id="rId3"/>
    <sheet name="Podział na role" sheetId="2" state="visible" r:id="rId4"/>
    <sheet name="Insighty sprzedażow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<sst xmlns="http://schemas.openxmlformats.org/spreadsheetml/2006/main" count="67" uniqueCount="51">
  <si>
    <t xml:space="preserve">RUCH ALERGOLOGICZNY — DANE Z POSTHOG (UU/mies.)</t>
  </si>
  <si>
    <t xml:space="preserve">Pageviews + wyszukiwania tematów alergologicznych. Unikalni użytkownicy z rolą, bez backoffice. Źródło: PostHog, 19.03.2026</t>
  </si>
  <si>
    <t xml:space="preserve">Miesiąc</t>
  </si>
  <si>
    <t xml:space="preserve">VI.25</t>
  </si>
  <si>
    <t xml:space="preserve">VII.25</t>
  </si>
  <si>
    <t xml:space="preserve">VIII.25</t>
  </si>
  <si>
    <t xml:space="preserve">IX.25</t>
  </si>
  <si>
    <t xml:space="preserve">X.25</t>
  </si>
  <si>
    <t xml:space="preserve">XI.25</t>
  </si>
  <si>
    <t xml:space="preserve">XII.25</t>
  </si>
  <si>
    <t xml:space="preserve">I.26</t>
  </si>
  <si>
    <t xml:space="preserve">II.26</t>
  </si>
  <si>
    <t xml:space="preserve">III.26*</t>
  </si>
  <si>
    <t xml:space="preserve">Źródło</t>
  </si>
  <si>
    <t xml:space="preserve">Alergologia — łączny ruch (UU)</t>
  </si>
  <si>
    <t xml:space="preserve">PostHog: $pageview + search_query</t>
  </si>
  <si>
    <t xml:space="preserve">Rok wcześniej (+12 mies.)</t>
  </si>
  <si>
    <t xml:space="preserve">Zmiana r/r</t>
  </si>
  <si>
    <t xml:space="preserve">Dermatologia (UU)</t>
  </si>
  <si>
    <t xml:space="preserve">Pulmonologia (UU)</t>
  </si>
  <si>
    <t xml:space="preserve">KLUCZOWE METRYKI</t>
  </si>
  <si>
    <t xml:space="preserve">Dołek (VIII.25)</t>
  </si>
  <si>
    <t xml:space="preserve">Pik (XII.25)</t>
  </si>
  <si>
    <t xml:space="preserve">Zmiana dołek→pik</t>
  </si>
  <si>
    <t xml:space="preserve">Sty-Lut 2026</t>
  </si>
  <si>
    <t xml:space="preserve">Sty-Lut 2025</t>
  </si>
  <si>
    <t xml:space="preserve">Zmiana Sty-Lut y/y</t>
  </si>
  <si>
    <t xml:space="preserve">KTO OGLĄDA TREŚCI ALERGOLOGICZNE? — PODZIAŁ NA ROLE I STATUSY LEKARZY</t>
  </si>
  <si>
    <t xml:space="preserve">To NIE alergolodzy — to lekarze POZ, rezydenci i studenci szukający wiedzy o alergiach u pacjentów. Źródło: PostHog, 19.03.2026</t>
  </si>
  <si>
    <t xml:space="preserve">Grupa użytkowników</t>
  </si>
  <si>
    <t xml:space="preserve">Lek. bez specjalizacji (POZ)</t>
  </si>
  <si>
    <t xml:space="preserve">Rezydenci</t>
  </si>
  <si>
    <t xml:space="preserve">Stażyści</t>
  </si>
  <si>
    <t xml:space="preserve">Specjaliści</t>
  </si>
  <si>
    <t xml:space="preserve">Studenci medycyny</t>
  </si>
  <si>
    <t xml:space="preserve">Inni (farmaceuci, pielęgniarki…)</t>
  </si>
  <si>
    <t xml:space="preserve">RAZEM</t>
  </si>
  <si>
    <t xml:space="preserve">UDZIAŁ % (ostatnie 3 mies.)</t>
  </si>
  <si>
    <t xml:space="preserve">KLUCZOWE INSIGHTY DLA SPRZEDAŻY — SEZON ALERGICZNY 2026</t>
  </si>
  <si>
    <t xml:space="preserve">SEZONOWOŚĆ</t>
  </si>
  <si>
    <t xml:space="preserve">Dołek letni (VIII: 1 078 UU) → pik konferencyjny (XII: 2 998 UU, +178%) → zimowy spadek → wiosenny wzrost. Marzec 2026 w toku (1 254 UU na 19/31 dni).</t>
  </si>
  <si>
    <t xml:space="preserve">WZROST R/R</t>
  </si>
  <si>
    <t xml:space="preserve">Sty-Lut 2026 vs Sty-Lut 2025: +51% (3 892 vs 2 574 UU). Baseline rośnie organicznie — sezon 2026 będzie silniejszy.</t>
  </si>
  <si>
    <t xml:space="preserve">PROFIL UŻYTKOWNIKA</t>
  </si>
  <si>
    <t xml:space="preserve">50%+ to lekarze bez specjalizacji (POZ), 26% rezydenci, 11% stażyści, 11% specjaliści. Dominują: medycyna rodzinna, pediatria, choroby wewnętrzne.</t>
  </si>
  <si>
    <t xml:space="preserve">CROSS-SELL</t>
  </si>
  <si>
    <t xml:space="preserve">Alergo + derma + pulmo = do 9 000 UU/mies. w szczycie. Konferencja łączona (PKwPOZ jesień 2025) = 2 356 UU jednorazowo.</t>
  </si>
  <si>
    <t xml:space="preserve">DLACZEGO TERAZ?</t>
  </si>
  <si>
    <t xml:space="preserve">Sezon zaczyna się w marcu, szczytuje w kwietniu. Okno decyzyjne kampanii = TERAZ. Startując w maju tracimy pik.</t>
  </si>
  <si>
    <t xml:space="preserve">KLIENCI DO KONTAKTU</t>
  </si>
  <si>
    <t xml:space="preserve">Adamed (Hitaxa, 319k), Glenmark (Ryaltris, 251k), Aflofarm (102k), Chiesi (astma, 134k), OM Pharma (297k), Pfizer (100k), Orion Pharma (206k).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</si>
</sst>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85149"/>
      <name val="Arial"/>
      <family val="0"/>
      <charset val="1"/>
    </font>
    <font>
      <sz val="9"/>
      <color rgb="FF8B949E"/>
      <name val="Arial"/>
      <family val="0"/>
      <charset val="1"/>
    </font>
    <font>
      <b val="true"/>
      <sz val="11"/>
      <color rgb="FFE6EDF3"/>
      <name val="Arial"/>
      <family val="0"/>
      <charset val="1"/>
    </font>
    <font>
      <b val="true"/>
      <sz val="10"/>
      <color rgb="FFF85149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10"/>
      <color rgb="FF3FB950"/>
      <name val="Arial"/>
      <family val="0"/>
      <charset val="1"/>
    </font>
    <font>
      <sz val="10"/>
      <color rgb="FFBC8CFF"/>
      <name val="Arial"/>
      <family val="0"/>
      <charset val="1"/>
    </font>
    <font>
      <sz val="10"/>
      <color rgb="FF58A6FF"/>
      <name val="Arial"/>
      <family val="0"/>
      <charset val="1"/>
    </font>
    <font>
      <b val="true"/>
      <sz val="11"/>
      <color rgb="FFD29922"/>
      <name val="Arial"/>
      <family val="0"/>
      <charset val="1"/>
    </font>
    <font>
      <b val="true"/>
      <sz val="10"/>
      <color rgb="FFE6EDF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58A6FF"/>
      <name val="Arial"/>
      <family val="0"/>
      <charset val="1"/>
    </font>
    <font>
      <b val="true"/>
      <sz val="10"/>
      <color rgb="FF58A6FF"/>
      <name val="Arial"/>
      <family val="0"/>
      <charset val="1"/>
    </font>
    <font>
      <sz val="10"/>
      <color rgb="FF3FB950"/>
      <name val="Arial"/>
      <family val="0"/>
      <charset val="1"/>
    </font>
    <font>
      <b val="true"/>
      <sz val="10"/>
      <color rgb="FFD29922"/>
      <name val="Arial"/>
      <family val="0"/>
      <charset val="1"/>
    </font>
    <font>
      <sz val="10"/>
      <color rgb="FFD29922"/>
      <name val="Arial"/>
      <family val="0"/>
      <charset val="1"/>
    </font>
    <font>
      <sz val="10"/>
      <color rgb="FFF85149"/>
      <name val="Arial"/>
      <family val="0"/>
      <charset val="1"/>
    </font>
    <font>
      <b val="true"/>
      <sz val="10"/>
      <color rgb="FFBC8CFF"/>
      <name val="Arial"/>
      <family val="0"/>
      <charset val="1"/>
    </font>
    <font>
      <b val="true"/>
      <sz val="10"/>
      <color rgb="FF8B949E"/>
      <name val="Arial"/>
      <family val="0"/>
      <charset val="1"/>
    </font>
    <font>
      <b val="true"/>
      <sz val="14"/>
      <color rgb="FF3FB950"/>
      <name val="Arial"/>
      <family val="0"/>
      <charset val="1"/>
    </font>
    <font>
      <b val="true"/>
      <sz val="11"/>
      <color rgb="FFF8514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1117"/>
        <bgColor rgb="FF1C2129"/>
      </patternFill>
    </fill>
    <fill>
      <patternFill patternType="solid">
        <fgColor rgb="FF1C2129"/>
        <bgColor rgb="FF0D111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0363D"/>
      </bottom>
      <diagonal/>
    </border>
    <border diagonalUp="false" diagonalDown="false">
      <left/>
      <right/>
      <top style="medium">
        <color rgb="FFE6EDF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58A6FF"/>
      <rgbColor rgb="FF993366"/>
      <rgbColor rgb="FFFFFFCC"/>
      <rgbColor rgb="FFE6ED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C8CFF"/>
      <rgbColor rgb="FFFFCC99"/>
      <rgbColor rgb="FF3366FF"/>
      <rgbColor rgb="FF33CCCC"/>
      <rgbColor rgb="FF99CC00"/>
      <rgbColor rgb="FFFFCC00"/>
      <rgbColor rgb="FFD29922"/>
      <rgbColor rgb="FFF85149"/>
      <rgbColor rgb="FF666699"/>
      <rgbColor rgb="FF8B949E"/>
      <rgbColor rgb="FF003366"/>
      <rgbColor rgb="FF3FB950"/>
      <rgbColor rgb="FF0D1117"/>
      <rgbColor rgb="FF1C2129"/>
      <rgbColor rgb="FF993300"/>
      <rgbColor rgb="FF993366"/>
      <rgbColor rgb="FF333399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Ruch alergologiczny — dołek zimowy i wiosenny wzrost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"Alergologia 2025/26"</c:f>
              <c:strCache>
                <c:ptCount val="1"/>
                <c:pt idx="0">
                  <c:v>Alergologia 2025/26</c:v>
                </c:pt>
              </c:strCache>
            </c:strRef>
          </c:tx>
          <c:spPr>
            <a:solidFill>
              <a:srgbClr val="f85149"/>
            </a:solidFill>
            <a:ln w="28080">
              <a:solidFill>
                <a:srgbClr val="f8514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'Ruch alergologiczny'!$B$4:$K$4</c:f>
              <c:multiLvlStrCache>
                <c:ptCount val="1"/>
                <c:lvl>
                  <c:pt idx="0">
                    <c:v>III.26*</c:v>
                  </c:pt>
                </c:lvl>
                <c:lvl>
                  <c:pt idx="0">
                    <c:v>II.26</c:v>
                  </c:pt>
                </c:lvl>
                <c:lvl>
                  <c:pt idx="0">
                    <c:v>I.26</c:v>
                  </c:pt>
                </c:lvl>
                <c:lvl>
                  <c:pt idx="0">
                    <c:v>XII.25</c:v>
                  </c:pt>
                </c:lvl>
                <c:lvl>
                  <c:pt idx="0">
                    <c:v>XI.25</c:v>
                  </c:pt>
                </c:lvl>
                <c:lvl>
                  <c:pt idx="0">
                    <c:v>X.25</c:v>
                  </c:pt>
                </c:lvl>
                <c:lvl>
                  <c:pt idx="0">
                    <c:v>IX.25</c:v>
                  </c:pt>
                </c:lvl>
                <c:lvl>
                  <c:pt idx="0">
                    <c:v>VIII.25</c:v>
                  </c:pt>
                </c:lvl>
                <c:lvl>
                  <c:pt idx="0">
                    <c:v>VII.25</c:v>
                  </c:pt>
                </c:lvl>
                <c:lvl>
                  <c:pt idx="0">
                    <c:v>VI.25</c:v>
                  </c:pt>
                </c:lvl>
              </c:multiLvlStrCache>
            </c:multiLvlStrRef>
          </c:cat>
          <c:val>
            <c:numRef>
              <c:f>'Ruch alergologiczny'!$B$5:$K$5</c:f>
              <c:numCache>
                <c:formatCode>#,##0</c:formatCode>
                <c:ptCount val="10"/>
                <c:pt idx="0">
                  <c:v>1223</c:v>
                </c:pt>
                <c:pt idx="1">
                  <c:v>1151</c:v>
                </c:pt>
                <c:pt idx="2">
                  <c:v>1078</c:v>
                </c:pt>
                <c:pt idx="3">
                  <c:v>1815</c:v>
                </c:pt>
                <c:pt idx="4">
                  <c:v>1438</c:v>
                </c:pt>
                <c:pt idx="5">
                  <c:v>2395</c:v>
                </c:pt>
                <c:pt idx="6">
                  <c:v>2998</c:v>
                </c:pt>
                <c:pt idx="7">
                  <c:v>1913</c:v>
                </c:pt>
                <c:pt idx="8">
                  <c:v>1979</c:v>
                </c:pt>
                <c:pt idx="9">
                  <c:v>1254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"Rok wcześniej"</c:f>
              <c:strCache>
                <c:ptCount val="1"/>
                <c:pt idx="0">
                  <c:v>Rok wcześniej</c:v>
                </c:pt>
              </c:strCache>
            </c:strRef>
          </c:tx>
          <c:spPr>
            <a:solidFill>
              <a:srgbClr val="8b949e"/>
            </a:solidFill>
            <a:ln w="18000">
              <a:solidFill>
                <a:srgbClr val="8b949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'Ruch alergologiczny'!$B$4:$K$4</c:f>
              <c:multiLvlStrCache>
                <c:ptCount val="1"/>
                <c:lvl>
                  <c:pt idx="0">
                    <c:v>III.26*</c:v>
                  </c:pt>
                </c:lvl>
                <c:lvl>
                  <c:pt idx="0">
                    <c:v>II.26</c:v>
                  </c:pt>
                </c:lvl>
                <c:lvl>
                  <c:pt idx="0">
                    <c:v>I.26</c:v>
                  </c:pt>
                </c:lvl>
                <c:lvl>
                  <c:pt idx="0">
                    <c:v>XII.25</c:v>
                  </c:pt>
                </c:lvl>
                <c:lvl>
                  <c:pt idx="0">
                    <c:v>XI.25</c:v>
                  </c:pt>
                </c:lvl>
                <c:lvl>
                  <c:pt idx="0">
                    <c:v>X.25</c:v>
                  </c:pt>
                </c:lvl>
                <c:lvl>
                  <c:pt idx="0">
                    <c:v>IX.25</c:v>
                  </c:pt>
                </c:lvl>
                <c:lvl>
                  <c:pt idx="0">
                    <c:v>VIII.25</c:v>
                  </c:pt>
                </c:lvl>
                <c:lvl>
                  <c:pt idx="0">
                    <c:v>VII.25</c:v>
                  </c:pt>
                </c:lvl>
                <c:lvl>
                  <c:pt idx="0">
                    <c:v>VI.25</c:v>
                  </c:pt>
                </c:lvl>
              </c:multiLvlStrCache>
            </c:multiLvlStrRef>
          </c:cat>
          <c:val>
            <c:numRef>
              <c:f>'Ruch alergologiczny'!$B$6:$K$6</c:f>
              <c:numCache>
                <c:formatCode>#,##0</c:formatCode>
                <c:ptCount val="10"/>
                <c:pt idx="0">
                  <c:v>1163</c:v>
                </c:pt>
                <c:pt idx="1">
                  <c:v>1411</c:v>
                </c:pt>
                <c:pt idx="2">
                  <c:v>1963</c:v>
                </c:pt>
                <c:pt idx="3">
                  <c:v>2184</c:v>
                </c:pt>
                <c:pt idx="4">
                  <c:v>1313</c:v>
                </c:pt>
                <c:pt idx="5">
                  <c:v>1160</c:v>
                </c:pt>
                <c:pt idx="6">
                  <c:v>1099</c:v>
                </c:pt>
                <c:pt idx="7">
                  <c:v>1039</c:v>
                </c:pt>
                <c:pt idx="8">
                  <c:v>1771</c:v>
                </c:pt>
                <c:pt idx="9">
                  <c:v>1402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"Dermatologia"</c:f>
              <c:strCache>
                <c:ptCount val="1"/>
                <c:pt idx="0">
                  <c:v>Dermatologia</c:v>
                </c:pt>
              </c:strCache>
            </c:strRef>
          </c:tx>
          <c:spPr>
            <a:solidFill>
              <a:srgbClr val="bc8cff"/>
            </a:solidFill>
            <a:ln w="14040">
              <a:solidFill>
                <a:srgbClr val="bc8c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0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'Ruch alergologiczny'!$B$4:$K$4</c:f>
              <c:multiLvlStrCache>
                <c:ptCount val="1"/>
                <c:lvl>
                  <c:pt idx="0">
                    <c:v>III.26*</c:v>
                  </c:pt>
                </c:lvl>
                <c:lvl>
                  <c:pt idx="0">
                    <c:v>II.26</c:v>
                  </c:pt>
                </c:lvl>
                <c:lvl>
                  <c:pt idx="0">
                    <c:v>I.26</c:v>
                  </c:pt>
                </c:lvl>
                <c:lvl>
                  <c:pt idx="0">
                    <c:v>XII.25</c:v>
                  </c:pt>
                </c:lvl>
                <c:lvl>
                  <c:pt idx="0">
                    <c:v>XI.25</c:v>
                  </c:pt>
                </c:lvl>
                <c:lvl>
                  <c:pt idx="0">
                    <c:v>X.25</c:v>
                  </c:pt>
                </c:lvl>
                <c:lvl>
                  <c:pt idx="0">
                    <c:v>IX.25</c:v>
                  </c:pt>
                </c:lvl>
                <c:lvl>
                  <c:pt idx="0">
                    <c:v>VIII.25</c:v>
                  </c:pt>
                </c:lvl>
                <c:lvl>
                  <c:pt idx="0">
                    <c:v>VII.25</c:v>
                  </c:pt>
                </c:lvl>
                <c:lvl>
                  <c:pt idx="0">
                    <c:v>VI.25</c:v>
                  </c:pt>
                </c:lvl>
              </c:multiLvlStrCache>
            </c:multiLvlStrRef>
          </c:cat>
          <c:val>
            <c:numRef>
              <c:f>'Ruch alergologiczny'!$B$9:$K$9</c:f>
              <c:numCache>
                <c:formatCode>#,##0</c:formatCode>
                <c:ptCount val="10"/>
                <c:pt idx="0">
                  <c:v>2192</c:v>
                </c:pt>
                <c:pt idx="1">
                  <c:v>2522</c:v>
                </c:pt>
                <c:pt idx="2">
                  <c:v>2445</c:v>
                </c:pt>
                <c:pt idx="3">
                  <c:v>2955</c:v>
                </c:pt>
                <c:pt idx="4">
                  <c:v>3066</c:v>
                </c:pt>
                <c:pt idx="5">
                  <c:v>3771</c:v>
                </c:pt>
                <c:pt idx="6">
                  <c:v>4007</c:v>
                </c:pt>
                <c:pt idx="7">
                  <c:v>3056</c:v>
                </c:pt>
                <c:pt idx="8">
                  <c:v>3179</c:v>
                </c:pt>
                <c:pt idx="9">
                  <c:v>1735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"Pulmonologia"</c:f>
              <c:strCache>
                <c:ptCount val="1"/>
                <c:pt idx="0">
                  <c:v>Pulmonologia</c:v>
                </c:pt>
              </c:strCache>
            </c:strRef>
          </c:tx>
          <c:spPr>
            <a:solidFill>
              <a:srgbClr val="58a6ff"/>
            </a:solidFill>
            <a:ln w="14040">
              <a:solidFill>
                <a:srgbClr val="58a6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0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'Ruch alergologiczny'!$B$4:$K$4</c:f>
              <c:multiLvlStrCache>
                <c:ptCount val="1"/>
                <c:lvl>
                  <c:pt idx="0">
                    <c:v>III.26*</c:v>
                  </c:pt>
                </c:lvl>
                <c:lvl>
                  <c:pt idx="0">
                    <c:v>II.26</c:v>
                  </c:pt>
                </c:lvl>
                <c:lvl>
                  <c:pt idx="0">
                    <c:v>I.26</c:v>
                  </c:pt>
                </c:lvl>
                <c:lvl>
                  <c:pt idx="0">
                    <c:v>XII.25</c:v>
                  </c:pt>
                </c:lvl>
                <c:lvl>
                  <c:pt idx="0">
                    <c:v>XI.25</c:v>
                  </c:pt>
                </c:lvl>
                <c:lvl>
                  <c:pt idx="0">
                    <c:v>X.25</c:v>
                  </c:pt>
                </c:lvl>
                <c:lvl>
                  <c:pt idx="0">
                    <c:v>IX.25</c:v>
                  </c:pt>
                </c:lvl>
                <c:lvl>
                  <c:pt idx="0">
                    <c:v>VIII.25</c:v>
                  </c:pt>
                </c:lvl>
                <c:lvl>
                  <c:pt idx="0">
                    <c:v>VII.25</c:v>
                  </c:pt>
                </c:lvl>
                <c:lvl>
                  <c:pt idx="0">
                    <c:v>VI.25</c:v>
                  </c:pt>
                </c:lvl>
              </c:multiLvlStrCache>
            </c:multiLvlStrRef>
          </c:cat>
          <c:val>
            <c:numRef>
              <c:f>'Ruch alergologiczny'!$B$10:$K$10</c:f>
              <c:numCache>
                <c:formatCode>#,##0</c:formatCode>
                <c:ptCount val="10"/>
                <c:pt idx="0">
                  <c:v>1667</c:v>
                </c:pt>
                <c:pt idx="1">
                  <c:v>1612</c:v>
                </c:pt>
                <c:pt idx="2">
                  <c:v>1472</c:v>
                </c:pt>
                <c:pt idx="3">
                  <c:v>1520</c:v>
                </c:pt>
                <c:pt idx="4">
                  <c:v>1909</c:v>
                </c:pt>
                <c:pt idx="5">
                  <c:v>2860</c:v>
                </c:pt>
                <c:pt idx="6">
                  <c:v>3688</c:v>
                </c:pt>
                <c:pt idx="7">
                  <c:v>2867</c:v>
                </c:pt>
                <c:pt idx="8">
                  <c:v>2957</c:v>
                </c:pt>
                <c:pt idx="9">
                  <c:v>1763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273322"/>
        <c:axId val="54084658"/>
      </c:lineChart>
      <c:catAx>
        <c:axId val="69273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084658"/>
        <c:crosses val="autoZero"/>
        <c:auto val="1"/>
        <c:lblAlgn val="ctr"/>
        <c:lblOffset val="100"/>
        <c:noMultiLvlLbl val="0"/>
      </c:catAx>
      <c:valAx>
        <c:axId val="540846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Unikalni użytkownicy (UU)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2733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Kto generuje ruch alergologiczny? Podział na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"Lek. bez specjalizacji (POZ)"</c:f>
              <c:strCache>
                <c:ptCount val="1"/>
                <c:pt idx="0">
                  <c:v>Lek. bez specjalizacji (POZ)</c:v>
                </c:pt>
              </c:strCache>
            </c:strRef>
          </c:tx>
          <c:spPr>
            <a:solidFill>
              <a:srgbClr val="58a6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'Podział na role'!$B$4:$K$4</c:f>
              <c:multiLvlStrCache>
                <c:ptCount val="1"/>
                <c:lvl>
                  <c:pt idx="0">
                    <c:v>III.26*</c:v>
                  </c:pt>
                </c:lvl>
                <c:lvl>
                  <c:pt idx="0">
                    <c:v>II.26</c:v>
                  </c:pt>
                </c:lvl>
                <c:lvl>
                  <c:pt idx="0">
                    <c:v>I.26</c:v>
                  </c:pt>
                </c:lvl>
                <c:lvl>
                  <c:pt idx="0">
                    <c:v>XII.25</c:v>
                  </c:pt>
                </c:lvl>
                <c:lvl>
                  <c:pt idx="0">
                    <c:v>XI.25</c:v>
                  </c:pt>
                </c:lvl>
                <c:lvl>
                  <c:pt idx="0">
                    <c:v>X.25</c:v>
                  </c:pt>
                </c:lvl>
                <c:lvl>
                  <c:pt idx="0">
                    <c:v>IX.25</c:v>
                  </c:pt>
                </c:lvl>
                <c:lvl>
                  <c:pt idx="0">
                    <c:v>VIII.25</c:v>
                  </c:pt>
                </c:lvl>
                <c:lvl>
                  <c:pt idx="0">
                    <c:v>VII.25</c:v>
                  </c:pt>
                </c:lvl>
                <c:lvl>
                  <c:pt idx="0">
                    <c:v>VI.25</c:v>
                  </c:pt>
                </c:lvl>
              </c:multiLvlStrCache>
            </c:multiLvlStrRef>
          </c:cat>
          <c:val>
            <c:numRef>
              <c:f>'Podział na role'!$B$5:$K$5</c:f>
              <c:numCache>
                <c:formatCode>#,##0</c:formatCode>
                <c:ptCount val="10"/>
                <c:pt idx="0">
                  <c:v>438</c:v>
                </c:pt>
                <c:pt idx="1">
                  <c:v>426</c:v>
                </c:pt>
                <c:pt idx="2">
                  <c:v>448</c:v>
                </c:pt>
                <c:pt idx="3">
                  <c:v>779</c:v>
                </c:pt>
                <c:pt idx="4">
                  <c:v>507</c:v>
                </c:pt>
                <c:pt idx="5">
                  <c:v>939</c:v>
                </c:pt>
                <c:pt idx="6">
                  <c:v>1112</c:v>
                </c:pt>
                <c:pt idx="7">
                  <c:v>648</c:v>
                </c:pt>
                <c:pt idx="8">
                  <c:v>657</c:v>
                </c:pt>
                <c:pt idx="9">
                  <c:v>641</c:v>
                </c:pt>
              </c:numCache>
            </c:numRef>
          </c:val>
        </c:ser>
        <c:ser>
          <c:idx val="1"/>
          <c:order val="1"/>
          <c:tx>
            <c:strRef>
              <c:f>"Rezydenci"</c:f>
              <c:strCache>
                <c:ptCount val="1"/>
                <c:pt idx="0">
                  <c:v>Rezydenci</c:v>
                </c:pt>
              </c:strCache>
            </c:strRef>
          </c:tx>
          <c:spPr>
            <a:solidFill>
              <a:srgbClr val="3fb9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'Podział na role'!$B$4:$K$4</c:f>
              <c:multiLvlStrCache>
                <c:ptCount val="1"/>
                <c:lvl>
                  <c:pt idx="0">
                    <c:v>III.26*</c:v>
                  </c:pt>
                </c:lvl>
                <c:lvl>
                  <c:pt idx="0">
                    <c:v>II.26</c:v>
                  </c:pt>
                </c:lvl>
                <c:lvl>
                  <c:pt idx="0">
                    <c:v>I.26</c:v>
                  </c:pt>
                </c:lvl>
                <c:lvl>
                  <c:pt idx="0">
                    <c:v>XII.25</c:v>
                  </c:pt>
                </c:lvl>
                <c:lvl>
                  <c:pt idx="0">
                    <c:v>XI.25</c:v>
                  </c:pt>
                </c:lvl>
                <c:lvl>
                  <c:pt idx="0">
                    <c:v>X.25</c:v>
                  </c:pt>
                </c:lvl>
                <c:lvl>
                  <c:pt idx="0">
                    <c:v>IX.25</c:v>
                  </c:pt>
                </c:lvl>
                <c:lvl>
                  <c:pt idx="0">
                    <c:v>VIII.25</c:v>
                  </c:pt>
                </c:lvl>
                <c:lvl>
                  <c:pt idx="0">
                    <c:v>VII.25</c:v>
                  </c:pt>
                </c:lvl>
                <c:lvl>
                  <c:pt idx="0">
                    <c:v>VI.25</c:v>
                  </c:pt>
                </c:lvl>
              </c:multiLvlStrCache>
            </c:multiLvlStrRef>
          </c:cat>
          <c:val>
            <c:numRef>
              <c:f>'Podział na role'!$B$6:$K$6</c:f>
              <c:numCache>
                <c:formatCode>#,##0</c:formatCode>
                <c:ptCount val="10"/>
                <c:pt idx="0">
                  <c:v>201</c:v>
                </c:pt>
                <c:pt idx="1">
                  <c:v>192</c:v>
                </c:pt>
                <c:pt idx="2">
                  <c:v>177</c:v>
                </c:pt>
                <c:pt idx="3">
                  <c:v>303</c:v>
                </c:pt>
                <c:pt idx="4">
                  <c:v>222</c:v>
                </c:pt>
                <c:pt idx="5">
                  <c:v>347</c:v>
                </c:pt>
                <c:pt idx="6">
                  <c:v>565</c:v>
                </c:pt>
                <c:pt idx="7">
                  <c:v>292</c:v>
                </c:pt>
                <c:pt idx="8">
                  <c:v>280</c:v>
                </c:pt>
                <c:pt idx="9">
                  <c:v>316</c:v>
                </c:pt>
              </c:numCache>
            </c:numRef>
          </c:val>
        </c:ser>
        <c:ser>
          <c:idx val="2"/>
          <c:order val="2"/>
          <c:tx>
            <c:strRef>
              <c:f>"Stażyści"</c:f>
              <c:strCache>
                <c:ptCount val="1"/>
                <c:pt idx="0">
                  <c:v>Stażyści</c:v>
                </c:pt>
              </c:strCache>
            </c:strRef>
          </c:tx>
          <c:spPr>
            <a:solidFill>
              <a:srgbClr val="d299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'Podział na role'!$B$4:$K$4</c:f>
              <c:multiLvlStrCache>
                <c:ptCount val="1"/>
                <c:lvl>
                  <c:pt idx="0">
                    <c:v>III.26*</c:v>
                  </c:pt>
                </c:lvl>
                <c:lvl>
                  <c:pt idx="0">
                    <c:v>II.26</c:v>
                  </c:pt>
                </c:lvl>
                <c:lvl>
                  <c:pt idx="0">
                    <c:v>I.26</c:v>
                  </c:pt>
                </c:lvl>
                <c:lvl>
                  <c:pt idx="0">
                    <c:v>XII.25</c:v>
                  </c:pt>
                </c:lvl>
                <c:lvl>
                  <c:pt idx="0">
                    <c:v>XI.25</c:v>
                  </c:pt>
                </c:lvl>
                <c:lvl>
                  <c:pt idx="0">
                    <c:v>X.25</c:v>
                  </c:pt>
                </c:lvl>
                <c:lvl>
                  <c:pt idx="0">
                    <c:v>IX.25</c:v>
                  </c:pt>
                </c:lvl>
                <c:lvl>
                  <c:pt idx="0">
                    <c:v>VIII.25</c:v>
                  </c:pt>
                </c:lvl>
                <c:lvl>
                  <c:pt idx="0">
                    <c:v>VII.25</c:v>
                  </c:pt>
                </c:lvl>
                <c:lvl>
                  <c:pt idx="0">
                    <c:v>VI.25</c:v>
                  </c:pt>
                </c:lvl>
              </c:multiLvlStrCache>
            </c:multiLvlStrRef>
          </c:cat>
          <c:val>
            <c:numRef>
              <c:f>'Podział na role'!$B$7:$K$7</c:f>
              <c:numCache>
                <c:formatCode>#,##0</c:formatCode>
                <c:ptCount val="10"/>
                <c:pt idx="0">
                  <c:v>104</c:v>
                </c:pt>
                <c:pt idx="1">
                  <c:v>85</c:v>
                </c:pt>
                <c:pt idx="2">
                  <c:v>121</c:v>
                </c:pt>
                <c:pt idx="3">
                  <c:v>242</c:v>
                </c:pt>
                <c:pt idx="4">
                  <c:v>202</c:v>
                </c:pt>
                <c:pt idx="5">
                  <c:v>344</c:v>
                </c:pt>
                <c:pt idx="6">
                  <c:v>420</c:v>
                </c:pt>
                <c:pt idx="7">
                  <c:v>246</c:v>
                </c:pt>
                <c:pt idx="8">
                  <c:v>231</c:v>
                </c:pt>
                <c:pt idx="9">
                  <c:v>215</c:v>
                </c:pt>
              </c:numCache>
            </c:numRef>
          </c:val>
        </c:ser>
        <c:ser>
          <c:idx val="3"/>
          <c:order val="3"/>
          <c:tx>
            <c:strRef>
              <c:f>"Specjaliści"</c:f>
              <c:strCache>
                <c:ptCount val="1"/>
                <c:pt idx="0">
                  <c:v>Specjaliści</c:v>
                </c:pt>
              </c:strCache>
            </c:strRef>
          </c:tx>
          <c:spPr>
            <a:solidFill>
              <a:srgbClr val="f851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'Podział na role'!$B$4:$K$4</c:f>
              <c:multiLvlStrCache>
                <c:ptCount val="1"/>
                <c:lvl>
                  <c:pt idx="0">
                    <c:v>III.26*</c:v>
                  </c:pt>
                </c:lvl>
                <c:lvl>
                  <c:pt idx="0">
                    <c:v>II.26</c:v>
                  </c:pt>
                </c:lvl>
                <c:lvl>
                  <c:pt idx="0">
                    <c:v>I.26</c:v>
                  </c:pt>
                </c:lvl>
                <c:lvl>
                  <c:pt idx="0">
                    <c:v>XII.25</c:v>
                  </c:pt>
                </c:lvl>
                <c:lvl>
                  <c:pt idx="0">
                    <c:v>XI.25</c:v>
                  </c:pt>
                </c:lvl>
                <c:lvl>
                  <c:pt idx="0">
                    <c:v>X.25</c:v>
                  </c:pt>
                </c:lvl>
                <c:lvl>
                  <c:pt idx="0">
                    <c:v>IX.25</c:v>
                  </c:pt>
                </c:lvl>
                <c:lvl>
                  <c:pt idx="0">
                    <c:v>VIII.25</c:v>
                  </c:pt>
                </c:lvl>
                <c:lvl>
                  <c:pt idx="0">
                    <c:v>VII.25</c:v>
                  </c:pt>
                </c:lvl>
                <c:lvl>
                  <c:pt idx="0">
                    <c:v>VI.25</c:v>
                  </c:pt>
                </c:lvl>
              </c:multiLvlStrCache>
            </c:multiLvlStrRef>
          </c:cat>
          <c:val>
            <c:numRef>
              <c:f>'Podział na role'!$B$8:$K$8</c:f>
              <c:numCache>
                <c:formatCode>#,##0</c:formatCode>
                <c:ptCount val="10"/>
                <c:pt idx="0">
                  <c:v>108</c:v>
                </c:pt>
                <c:pt idx="1">
                  <c:v>143</c:v>
                </c:pt>
                <c:pt idx="2">
                  <c:v>55</c:v>
                </c:pt>
                <c:pt idx="3">
                  <c:v>88</c:v>
                </c:pt>
                <c:pt idx="4">
                  <c:v>79</c:v>
                </c:pt>
                <c:pt idx="5">
                  <c:v>173</c:v>
                </c:pt>
                <c:pt idx="6">
                  <c:v>323</c:v>
                </c:pt>
                <c:pt idx="7">
                  <c:v>200</c:v>
                </c:pt>
                <c:pt idx="8">
                  <c:v>242</c:v>
                </c:pt>
                <c:pt idx="9">
                  <c:v>232</c:v>
                </c:pt>
              </c:numCache>
            </c:numRef>
          </c:val>
        </c:ser>
        <c:ser>
          <c:idx val="4"/>
          <c:order val="4"/>
          <c:tx>
            <c:strRef>
              <c:f>"Studenci medycyny"</c:f>
              <c:strCache>
                <c:ptCount val="1"/>
                <c:pt idx="0">
                  <c:v>Studenci medycyny</c:v>
                </c:pt>
              </c:strCache>
            </c:strRef>
          </c:tx>
          <c:spPr>
            <a:solidFill>
              <a:srgbClr val="bc8c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'Podział na role'!$B$4:$K$4</c:f>
              <c:multiLvlStrCache>
                <c:ptCount val="1"/>
                <c:lvl>
                  <c:pt idx="0">
                    <c:v>III.26*</c:v>
                  </c:pt>
                </c:lvl>
                <c:lvl>
                  <c:pt idx="0">
                    <c:v>II.26</c:v>
                  </c:pt>
                </c:lvl>
                <c:lvl>
                  <c:pt idx="0">
                    <c:v>I.26</c:v>
                  </c:pt>
                </c:lvl>
                <c:lvl>
                  <c:pt idx="0">
                    <c:v>XII.25</c:v>
                  </c:pt>
                </c:lvl>
                <c:lvl>
                  <c:pt idx="0">
                    <c:v>XI.25</c:v>
                  </c:pt>
                </c:lvl>
                <c:lvl>
                  <c:pt idx="0">
                    <c:v>X.25</c:v>
                  </c:pt>
                </c:lvl>
                <c:lvl>
                  <c:pt idx="0">
                    <c:v>IX.25</c:v>
                  </c:pt>
                </c:lvl>
                <c:lvl>
                  <c:pt idx="0">
                    <c:v>VIII.25</c:v>
                  </c:pt>
                </c:lvl>
                <c:lvl>
                  <c:pt idx="0">
                    <c:v>VII.25</c:v>
                  </c:pt>
                </c:lvl>
                <c:lvl>
                  <c:pt idx="0">
                    <c:v>VI.25</c:v>
                  </c:pt>
                </c:lvl>
              </c:multiLvlStrCache>
            </c:multiLvlStrRef>
          </c:cat>
          <c:val>
            <c:numRef>
              <c:f>'Podział na role'!$B$9:$K$9</c:f>
              <c:numCache>
                <c:formatCode>#,##0</c:formatCode>
                <c:ptCount val="10"/>
                <c:pt idx="0">
                  <c:v>240</c:v>
                </c:pt>
                <c:pt idx="1">
                  <c:v>210</c:v>
                </c:pt>
                <c:pt idx="2">
                  <c:v>213</c:v>
                </c:pt>
                <c:pt idx="3">
                  <c:v>309</c:v>
                </c:pt>
                <c:pt idx="4">
                  <c:v>355</c:v>
                </c:pt>
                <c:pt idx="5">
                  <c:v>470</c:v>
                </c:pt>
                <c:pt idx="6">
                  <c:v>404</c:v>
                </c:pt>
                <c:pt idx="7">
                  <c:v>401</c:v>
                </c:pt>
                <c:pt idx="8">
                  <c:v>446</c:v>
                </c:pt>
                <c:pt idx="9">
                  <c:v>468</c:v>
                </c:pt>
              </c:numCache>
            </c:numRef>
          </c:val>
        </c:ser>
        <c:ser>
          <c:idx val="5"/>
          <c:order val="5"/>
          <c:tx>
            <c:strRef>
              <c:f>"Inni (farmaceuci, pielęgniarki…)"</c:f>
              <c:strCache>
                <c:ptCount val="1"/>
                <c:pt idx="0">
                  <c:v>Inni (farmaceuci, pielęgniarki…)</c:v>
                </c:pt>
              </c:strCache>
            </c:strRef>
          </c:tx>
          <c:spPr>
            <a:solidFill>
              <a:srgbClr val="8b949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'Podział na role'!$B$4:$K$4</c:f>
              <c:multiLvlStrCache>
                <c:ptCount val="1"/>
                <c:lvl>
                  <c:pt idx="0">
                    <c:v>III.26*</c:v>
                  </c:pt>
                </c:lvl>
                <c:lvl>
                  <c:pt idx="0">
                    <c:v>II.26</c:v>
                  </c:pt>
                </c:lvl>
                <c:lvl>
                  <c:pt idx="0">
                    <c:v>I.26</c:v>
                  </c:pt>
                </c:lvl>
                <c:lvl>
                  <c:pt idx="0">
                    <c:v>XII.25</c:v>
                  </c:pt>
                </c:lvl>
                <c:lvl>
                  <c:pt idx="0">
                    <c:v>XI.25</c:v>
                  </c:pt>
                </c:lvl>
                <c:lvl>
                  <c:pt idx="0">
                    <c:v>X.25</c:v>
                  </c:pt>
                </c:lvl>
                <c:lvl>
                  <c:pt idx="0">
                    <c:v>IX.25</c:v>
                  </c:pt>
                </c:lvl>
                <c:lvl>
                  <c:pt idx="0">
                    <c:v>VIII.25</c:v>
                  </c:pt>
                </c:lvl>
                <c:lvl>
                  <c:pt idx="0">
                    <c:v>VII.25</c:v>
                  </c:pt>
                </c:lvl>
                <c:lvl>
                  <c:pt idx="0">
                    <c:v>VI.25</c:v>
                  </c:pt>
                </c:lvl>
              </c:multiLvlStrCache>
            </c:multiLvlStrRef>
          </c:cat>
          <c:val>
            <c:numRef>
              <c:f>'Podział na role'!$B$10:$K$10</c:f>
              <c:numCache>
                <c:formatCode>#,##0</c:formatCode>
                <c:ptCount val="10"/>
                <c:pt idx="0">
                  <c:v>69</c:v>
                </c:pt>
                <c:pt idx="1">
                  <c:v>95</c:v>
                </c:pt>
                <c:pt idx="2">
                  <c:v>64</c:v>
                </c:pt>
                <c:pt idx="3">
                  <c:v>94</c:v>
                </c:pt>
                <c:pt idx="4">
                  <c:v>73</c:v>
                </c:pt>
                <c:pt idx="5">
                  <c:v>122</c:v>
                </c:pt>
                <c:pt idx="6">
                  <c:v>174</c:v>
                </c:pt>
                <c:pt idx="7">
                  <c:v>126</c:v>
                </c:pt>
                <c:pt idx="8">
                  <c:v>123</c:v>
                </c:pt>
                <c:pt idx="9">
                  <c:v>173</c:v>
                </c:pt>
              </c:numCache>
            </c:numRef>
          </c:val>
        </c:ser>
        <c:gapWidth val="150"/>
        <c:overlap val="100"/>
        <c:axId val="17377574"/>
        <c:axId val="28257384"/>
      </c:barChart>
      <c:catAx>
        <c:axId val="17377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257384"/>
        <c:crosses val="autoZero"/>
        <c:auto val="1"/>
        <c:lblAlgn val="ctr"/>
        <c:lblOffset val="100"/>
        <c:noMultiLvlLbl val="0"/>
      </c:catAx>
      <c:valAx>
        <c:axId val="282573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Unikalni użytkownicy (UU)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3775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160560</xdr:rowOff>
    </xdr:from>
    <xdr:to>
      <xdr:col>12</xdr:col>
      <xdr:colOff>101160</xdr:colOff>
      <xdr:row>53</xdr:row>
      <xdr:rowOff>163080</xdr:rowOff>
    </xdr:to>
    <xdr:graphicFrame>
      <xdr:nvGraphicFramePr>
        <xdr:cNvPr id="0" name="Chart 1"/>
        <xdr:cNvGraphicFramePr/>
      </xdr:nvGraphicFramePr>
      <xdr:xfrm>
        <a:off x="0" y="3809880"/>
        <a:ext cx="1151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160920</xdr:rowOff>
    </xdr:from>
    <xdr:to>
      <xdr:col>11</xdr:col>
      <xdr:colOff>594360</xdr:colOff>
      <xdr:row>54</xdr:row>
      <xdr:rowOff>163440</xdr:rowOff>
    </xdr:to>
    <xdr:graphicFrame>
      <xdr:nvGraphicFramePr>
        <xdr:cNvPr id="1" name="Chart 1"/>
        <xdr:cNvGraphicFramePr/>
      </xdr:nvGraphicFramePr>
      <xdr:xfrm>
        <a:off x="0" y="4000680"/>
        <a:ext cx="1151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5149"/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  <c r="M4" s="3" t="s">
        <v>13</v>
      </c>
    </row>
    <row r="5" customFormat="false" ht="15" hidden="false" customHeight="false" outlineLevel="0" collapsed="false">
      <c r="A5" s="4" t="s">
        <v>14</v>
      </c>
      <c r="B5" s="5" t="n">
        <v>1223</v>
      </c>
      <c r="C5" s="5" t="n">
        <v>1151</v>
      </c>
      <c r="D5" s="5" t="n">
        <v>1078</v>
      </c>
      <c r="E5" s="5" t="n">
        <v>1815</v>
      </c>
      <c r="F5" s="5" t="n">
        <v>1438</v>
      </c>
      <c r="G5" s="5" t="n">
        <v>2395</v>
      </c>
      <c r="H5" s="5" t="n">
        <v>2998</v>
      </c>
      <c r="I5" s="5" t="n">
        <v>1913</v>
      </c>
      <c r="J5" s="5" t="n">
        <v>1979</v>
      </c>
      <c r="K5" s="5" t="n">
        <v>1254</v>
      </c>
      <c r="M5" s="6"/>
      <c r="N5" s="7" t="s">
        <v>15</v>
      </c>
    </row>
    <row r="6" customFormat="false" ht="15" hidden="false" customHeight="false" outlineLevel="0" collapsed="false">
      <c r="A6" s="8" t="s">
        <v>16</v>
      </c>
      <c r="B6" s="9" t="n">
        <v>1163</v>
      </c>
      <c r="C6" s="9" t="n">
        <v>1411</v>
      </c>
      <c r="D6" s="9" t="n">
        <v>1963</v>
      </c>
      <c r="E6" s="9" t="n">
        <v>2184</v>
      </c>
      <c r="F6" s="9" t="n">
        <v>1313</v>
      </c>
      <c r="G6" s="9" t="n">
        <v>1160</v>
      </c>
      <c r="H6" s="9" t="n">
        <v>1099</v>
      </c>
      <c r="I6" s="9" t="n">
        <v>1039</v>
      </c>
      <c r="J6" s="9" t="n">
        <v>1771</v>
      </c>
      <c r="K6" s="9" t="n">
        <v>1402</v>
      </c>
    </row>
    <row r="7" customFormat="false" ht="15" hidden="false" customHeight="false" outlineLevel="0" collapsed="false">
      <c r="A7" s="10" t="s">
        <v>17</v>
      </c>
      <c r="B7" s="11" t="n">
        <f aca="false">IF(B6=0,"-",(B5-B6)/B6)</f>
        <v>0.0515907136715391</v>
      </c>
      <c r="C7" s="11" t="n">
        <f aca="false">IF(C6=0,"-",(C5-C6)/C6)</f>
        <v>-0.184266477675408</v>
      </c>
      <c r="D7" s="11" t="n">
        <f aca="false">IF(D6=0,"-",(D5-D6)/D6)</f>
        <v>-0.450840550178299</v>
      </c>
      <c r="E7" s="11" t="n">
        <f aca="false">IF(E6=0,"-",(E5-E6)/E6)</f>
        <v>-0.168956043956044</v>
      </c>
      <c r="F7" s="11" t="n">
        <f aca="false">IF(F6=0,"-",(F5-F6)/F6)</f>
        <v>0.0952018278750952</v>
      </c>
      <c r="G7" s="11" t="n">
        <f aca="false">IF(G6=0,"-",(G5-G6)/G6)</f>
        <v>1.06465517241379</v>
      </c>
      <c r="H7" s="11" t="n">
        <f aca="false">IF(H6=0,"-",(H5-H6)/H6)</f>
        <v>1.72793448589627</v>
      </c>
      <c r="I7" s="11" t="n">
        <f aca="false">IF(I6=0,"-",(I5-I6)/I6)</f>
        <v>0.841193455245428</v>
      </c>
      <c r="J7" s="11" t="n">
        <f aca="false">IF(J6=0,"-",(J5-J6)/J6)</f>
        <v>0.117447769621683</v>
      </c>
      <c r="K7" s="11" t="n">
        <f aca="false">IF(K6=0,"-",(K5-K6)/K6)</f>
        <v>-0.105563480741797</v>
      </c>
    </row>
    <row r="9" customFormat="false" ht="15" hidden="false" customHeight="false" outlineLevel="0" collapsed="false">
      <c r="A9" s="12" t="s">
        <v>18</v>
      </c>
      <c r="B9" s="13" t="n">
        <v>2192</v>
      </c>
      <c r="C9" s="13" t="n">
        <v>2522</v>
      </c>
      <c r="D9" s="13" t="n">
        <v>2445</v>
      </c>
      <c r="E9" s="13" t="n">
        <v>2955</v>
      </c>
      <c r="F9" s="13" t="n">
        <v>3066</v>
      </c>
      <c r="G9" s="13" t="n">
        <v>3771</v>
      </c>
      <c r="H9" s="13" t="n">
        <v>4007</v>
      </c>
      <c r="I9" s="13" t="n">
        <v>3056</v>
      </c>
      <c r="J9" s="13" t="n">
        <v>3179</v>
      </c>
      <c r="K9" s="13" t="n">
        <v>1735</v>
      </c>
    </row>
    <row r="10" customFormat="false" ht="15" hidden="false" customHeight="false" outlineLevel="0" collapsed="false">
      <c r="A10" s="14" t="s">
        <v>19</v>
      </c>
      <c r="B10" s="15" t="n">
        <v>1667</v>
      </c>
      <c r="C10" s="15" t="n">
        <v>1612</v>
      </c>
      <c r="D10" s="15" t="n">
        <v>1472</v>
      </c>
      <c r="E10" s="15" t="n">
        <v>1520</v>
      </c>
      <c r="F10" s="15" t="n">
        <v>1909</v>
      </c>
      <c r="G10" s="15" t="n">
        <v>2860</v>
      </c>
      <c r="H10" s="15" t="n">
        <v>3688</v>
      </c>
      <c r="I10" s="15" t="n">
        <v>2867</v>
      </c>
      <c r="J10" s="15" t="n">
        <v>2957</v>
      </c>
      <c r="K10" s="15" t="n">
        <v>1763</v>
      </c>
    </row>
    <row r="12" customFormat="false" ht="15" hidden="false" customHeight="false" outlineLevel="0" collapsed="false">
      <c r="A12" s="16" t="s">
        <v>20</v>
      </c>
      <c r="B12" s="16"/>
    </row>
    <row r="13" customFormat="false" ht="15" hidden="false" customHeight="false" outlineLevel="0" collapsed="false">
      <c r="A13" s="8" t="s">
        <v>21</v>
      </c>
      <c r="B13" s="17" t="n">
        <f aca="false">MIN(B5:K5)</f>
        <v>1078</v>
      </c>
    </row>
    <row r="14" customFormat="false" ht="15" hidden="false" customHeight="false" outlineLevel="0" collapsed="false">
      <c r="A14" s="8" t="s">
        <v>22</v>
      </c>
      <c r="B14" s="17" t="n">
        <f aca="false">MAX(B5:K5)</f>
        <v>2998</v>
      </c>
    </row>
    <row r="15" customFormat="false" ht="15" hidden="false" customHeight="false" outlineLevel="0" collapsed="false">
      <c r="A15" s="8" t="s">
        <v>23</v>
      </c>
      <c r="B15" s="18" t="n">
        <f aca="false">(MAX(B5:K5)-MIN(B5:K5))/MIN(B5:K5)</f>
        <v>1.78107606679035</v>
      </c>
    </row>
    <row r="16" customFormat="false" ht="15" hidden="false" customHeight="false" outlineLevel="0" collapsed="false">
      <c r="A16" s="8" t="s">
        <v>24</v>
      </c>
      <c r="B16" s="17" t="n">
        <f aca="false">H5+I5</f>
        <v>4911</v>
      </c>
    </row>
    <row r="17" customFormat="false" ht="15" hidden="false" customHeight="false" outlineLevel="0" collapsed="false">
      <c r="A17" s="8" t="s">
        <v>25</v>
      </c>
      <c r="B17" s="17" t="n">
        <f aca="false">H6+I6</f>
        <v>2138</v>
      </c>
    </row>
    <row r="18" customFormat="false" ht="15" hidden="false" customHeight="false" outlineLevel="0" collapsed="false">
      <c r="A18" s="8" t="s">
        <v>26</v>
      </c>
      <c r="B18" s="18" t="n">
        <f aca="false">(H5+I5-H6-I6)/(H6+I6)</f>
        <v>1.29700654817587</v>
      </c>
    </row>
  </sheetData>
  <mergeCells count="3">
    <mergeCell ref="A1:N1"/>
    <mergeCell ref="A2:N2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8A6FF"/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12" min="2" style="0" width="12"/>
  </cols>
  <sheetData>
    <row r="1" customFormat="false" ht="17.35" hidden="false" customHeight="false" outlineLevel="0" collapsed="false">
      <c r="A1" s="19" t="s">
        <v>27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29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20" t="s">
        <v>30</v>
      </c>
      <c r="B5" s="15" t="n">
        <v>438</v>
      </c>
      <c r="C5" s="15" t="n">
        <v>426</v>
      </c>
      <c r="D5" s="15" t="n">
        <v>448</v>
      </c>
      <c r="E5" s="15" t="n">
        <v>779</v>
      </c>
      <c r="F5" s="15" t="n">
        <v>507</v>
      </c>
      <c r="G5" s="15" t="n">
        <v>939</v>
      </c>
      <c r="H5" s="15" t="n">
        <v>1112</v>
      </c>
      <c r="I5" s="15" t="n">
        <v>648</v>
      </c>
      <c r="J5" s="15" t="n">
        <v>657</v>
      </c>
      <c r="K5" s="15" t="n">
        <v>641</v>
      </c>
    </row>
    <row r="6" customFormat="false" ht="15" hidden="false" customHeight="false" outlineLevel="0" collapsed="false">
      <c r="A6" s="10" t="s">
        <v>31</v>
      </c>
      <c r="B6" s="21" t="n">
        <v>201</v>
      </c>
      <c r="C6" s="21" t="n">
        <v>192</v>
      </c>
      <c r="D6" s="21" t="n">
        <v>177</v>
      </c>
      <c r="E6" s="21" t="n">
        <v>303</v>
      </c>
      <c r="F6" s="21" t="n">
        <v>222</v>
      </c>
      <c r="G6" s="21" t="n">
        <v>347</v>
      </c>
      <c r="H6" s="21" t="n">
        <v>565</v>
      </c>
      <c r="I6" s="21" t="n">
        <v>292</v>
      </c>
      <c r="J6" s="21" t="n">
        <v>280</v>
      </c>
      <c r="K6" s="21" t="n">
        <v>316</v>
      </c>
    </row>
    <row r="7" customFormat="false" ht="15" hidden="false" customHeight="false" outlineLevel="0" collapsed="false">
      <c r="A7" s="22" t="s">
        <v>32</v>
      </c>
      <c r="B7" s="23" t="n">
        <v>104</v>
      </c>
      <c r="C7" s="23" t="n">
        <v>85</v>
      </c>
      <c r="D7" s="23" t="n">
        <v>121</v>
      </c>
      <c r="E7" s="23" t="n">
        <v>242</v>
      </c>
      <c r="F7" s="23" t="n">
        <v>202</v>
      </c>
      <c r="G7" s="23" t="n">
        <v>344</v>
      </c>
      <c r="H7" s="23" t="n">
        <v>420</v>
      </c>
      <c r="I7" s="23" t="n">
        <v>246</v>
      </c>
      <c r="J7" s="23" t="n">
        <v>231</v>
      </c>
      <c r="K7" s="23" t="n">
        <v>215</v>
      </c>
    </row>
    <row r="8" customFormat="false" ht="15" hidden="false" customHeight="false" outlineLevel="0" collapsed="false">
      <c r="A8" s="4" t="s">
        <v>33</v>
      </c>
      <c r="B8" s="24" t="n">
        <v>108</v>
      </c>
      <c r="C8" s="24" t="n">
        <v>143</v>
      </c>
      <c r="D8" s="24" t="n">
        <v>55</v>
      </c>
      <c r="E8" s="24" t="n">
        <v>88</v>
      </c>
      <c r="F8" s="24" t="n">
        <v>79</v>
      </c>
      <c r="G8" s="24" t="n">
        <v>173</v>
      </c>
      <c r="H8" s="24" t="n">
        <v>323</v>
      </c>
      <c r="I8" s="24" t="n">
        <v>200</v>
      </c>
      <c r="J8" s="24" t="n">
        <v>242</v>
      </c>
      <c r="K8" s="24" t="n">
        <v>232</v>
      </c>
    </row>
    <row r="9" customFormat="false" ht="15" hidden="false" customHeight="false" outlineLevel="0" collapsed="false">
      <c r="A9" s="25" t="s">
        <v>34</v>
      </c>
      <c r="B9" s="13" t="n">
        <v>240</v>
      </c>
      <c r="C9" s="13" t="n">
        <v>210</v>
      </c>
      <c r="D9" s="13" t="n">
        <v>213</v>
      </c>
      <c r="E9" s="13" t="n">
        <v>309</v>
      </c>
      <c r="F9" s="13" t="n">
        <v>355</v>
      </c>
      <c r="G9" s="13" t="n">
        <v>470</v>
      </c>
      <c r="H9" s="13" t="n">
        <v>404</v>
      </c>
      <c r="I9" s="13" t="n">
        <v>401</v>
      </c>
      <c r="J9" s="13" t="n">
        <v>446</v>
      </c>
      <c r="K9" s="13" t="n">
        <v>468</v>
      </c>
    </row>
    <row r="10" customFormat="false" ht="15" hidden="false" customHeight="false" outlineLevel="0" collapsed="false">
      <c r="A10" s="26" t="s">
        <v>35</v>
      </c>
      <c r="B10" s="9" t="n">
        <v>69</v>
      </c>
      <c r="C10" s="9" t="n">
        <v>95</v>
      </c>
      <c r="D10" s="9" t="n">
        <v>64</v>
      </c>
      <c r="E10" s="9" t="n">
        <v>94</v>
      </c>
      <c r="F10" s="9" t="n">
        <v>73</v>
      </c>
      <c r="G10" s="9" t="n">
        <v>122</v>
      </c>
      <c r="H10" s="9" t="n">
        <v>174</v>
      </c>
      <c r="I10" s="9" t="n">
        <v>126</v>
      </c>
      <c r="J10" s="9" t="n">
        <v>123</v>
      </c>
      <c r="K10" s="9" t="n">
        <v>173</v>
      </c>
    </row>
    <row r="11" customFormat="false" ht="15" hidden="false" customHeight="false" outlineLevel="0" collapsed="false">
      <c r="A11" s="27" t="s">
        <v>36</v>
      </c>
      <c r="B11" s="28" t="n">
        <f aca="false">SUM(B5:B10)</f>
        <v>1160</v>
      </c>
      <c r="C11" s="28" t="n">
        <f aca="false">SUM(C5:C10)</f>
        <v>1151</v>
      </c>
      <c r="D11" s="28" t="n">
        <f aca="false">SUM(D5:D10)</f>
        <v>1078</v>
      </c>
      <c r="E11" s="28" t="n">
        <f aca="false">SUM(E5:E10)</f>
        <v>1815</v>
      </c>
      <c r="F11" s="28" t="n">
        <f aca="false">SUM(F5:F10)</f>
        <v>1438</v>
      </c>
      <c r="G11" s="28" t="n">
        <f aca="false">SUM(G5:G10)</f>
        <v>2395</v>
      </c>
      <c r="H11" s="28" t="n">
        <f aca="false">SUM(H5:H10)</f>
        <v>2998</v>
      </c>
      <c r="I11" s="28" t="n">
        <f aca="false">SUM(I5:I10)</f>
        <v>1913</v>
      </c>
      <c r="J11" s="28" t="n">
        <f aca="false">SUM(J5:J10)</f>
        <v>1979</v>
      </c>
      <c r="K11" s="28" t="n">
        <f aca="false">SUM(K5:K10)</f>
        <v>2045</v>
      </c>
    </row>
    <row r="13" customFormat="false" ht="15" hidden="false" customHeight="false" outlineLevel="0" collapsed="false">
      <c r="A13" s="29" t="s">
        <v>37</v>
      </c>
    </row>
    <row r="14" customFormat="false" ht="15" hidden="false" customHeight="false" outlineLevel="0" collapsed="false">
      <c r="A14" s="14" t="s">
        <v>30</v>
      </c>
      <c r="B14" s="30" t="n">
        <f aca="false">SUM(I5:K5)/SUM(I11:K11)</f>
        <v>0.327774970523834</v>
      </c>
    </row>
    <row r="15" customFormat="false" ht="15" hidden="false" customHeight="false" outlineLevel="0" collapsed="false">
      <c r="A15" s="31" t="s">
        <v>31</v>
      </c>
      <c r="B15" s="32" t="n">
        <f aca="false">SUM(I6:K6)/SUM(I11:K11)</f>
        <v>0.149570490146539</v>
      </c>
    </row>
    <row r="16" customFormat="false" ht="15" hidden="false" customHeight="false" outlineLevel="0" collapsed="false">
      <c r="A16" s="33" t="s">
        <v>32</v>
      </c>
      <c r="B16" s="34" t="n">
        <f aca="false">SUM(I7:K7)/SUM(I11:K11)</f>
        <v>0.116557183762843</v>
      </c>
    </row>
    <row r="17" customFormat="false" ht="15" hidden="false" customHeight="false" outlineLevel="0" collapsed="false">
      <c r="A17" s="35" t="s">
        <v>33</v>
      </c>
      <c r="B17" s="36" t="n">
        <f aca="false">SUM(I8:K8)/SUM(I11:K11)</f>
        <v>0.113525349503116</v>
      </c>
    </row>
    <row r="18" customFormat="false" ht="15" hidden="false" customHeight="false" outlineLevel="0" collapsed="false">
      <c r="A18" s="12" t="s">
        <v>34</v>
      </c>
      <c r="B18" s="37" t="n">
        <f aca="false">SUM(I9:K9)/SUM(I11:K11)</f>
        <v>0.221492336196732</v>
      </c>
    </row>
    <row r="19" customFormat="false" ht="15" hidden="false" customHeight="false" outlineLevel="0" collapsed="false">
      <c r="A19" s="8" t="s">
        <v>35</v>
      </c>
      <c r="B19" s="38" t="n">
        <f aca="false">SUM(I10:K10)/SUM(I11:K11)</f>
        <v>0.0710796698669362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B950"/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40"/>
  </cols>
  <sheetData>
    <row r="1" customFormat="false" ht="17.35" hidden="false" customHeight="false" outlineLevel="0" collapsed="false">
      <c r="A1" s="39" t="s">
        <v>38</v>
      </c>
      <c r="B1" s="39"/>
      <c r="C1" s="39"/>
    </row>
    <row r="3" customFormat="false" ht="15" hidden="false" customHeight="false" outlineLevel="0" collapsed="false">
      <c r="A3" s="40" t="s">
        <v>39</v>
      </c>
    </row>
    <row r="4" customFormat="false" ht="23.85" hidden="false" customHeight="true" outlineLevel="0" collapsed="false">
      <c r="A4" s="41" t="s">
        <v>40</v>
      </c>
      <c r="B4" s="41"/>
      <c r="C4" s="41"/>
    </row>
    <row r="6" customFormat="false" ht="15" hidden="false" customHeight="false" outlineLevel="0" collapsed="false">
      <c r="A6" s="40" t="s">
        <v>41</v>
      </c>
    </row>
    <row r="7" customFormat="false" ht="15" hidden="false" customHeight="true" outlineLevel="0" collapsed="false">
      <c r="A7" s="41" t="s">
        <v>42</v>
      </c>
      <c r="B7" s="41"/>
      <c r="C7" s="41"/>
    </row>
    <row r="9" customFormat="false" ht="15" hidden="false" customHeight="false" outlineLevel="0" collapsed="false">
      <c r="A9" s="40" t="s">
        <v>43</v>
      </c>
    </row>
    <row r="10" customFormat="false" ht="23.85" hidden="false" customHeight="true" outlineLevel="0" collapsed="false">
      <c r="A10" s="41" t="s">
        <v>44</v>
      </c>
      <c r="B10" s="41"/>
      <c r="C10" s="41"/>
    </row>
    <row r="12" customFormat="false" ht="15" hidden="false" customHeight="false" outlineLevel="0" collapsed="false">
      <c r="A12" s="40" t="s">
        <v>45</v>
      </c>
    </row>
    <row r="13" customFormat="false" ht="15" hidden="false" customHeight="true" outlineLevel="0" collapsed="false">
      <c r="A13" s="41" t="s">
        <v>46</v>
      </c>
      <c r="B13" s="41"/>
      <c r="C13" s="41"/>
    </row>
    <row r="15" customFormat="false" ht="15" hidden="false" customHeight="false" outlineLevel="0" collapsed="false">
      <c r="A15" s="40" t="s">
        <v>47</v>
      </c>
    </row>
    <row r="16" customFormat="false" ht="15" hidden="false" customHeight="true" outlineLevel="0" collapsed="false">
      <c r="A16" s="41" t="s">
        <v>48</v>
      </c>
      <c r="B16" s="41"/>
      <c r="C16" s="41"/>
    </row>
    <row r="18" customFormat="false" ht="15" hidden="false" customHeight="false" outlineLevel="0" collapsed="false">
      <c r="A18" s="40" t="s">
        <v>49</v>
      </c>
    </row>
    <row r="19" customFormat="false" ht="23.85" hidden="false" customHeight="true" outlineLevel="0" collapsed="false">
      <c r="A19" s="41" t="s">
        <v>50</v>
      </c>
      <c r="B19" s="41"/>
      <c r="C19" s="41"/>
    </row>
  </sheetData>
  <mergeCells count="7">
    <mergeCell ref="A1:C1"/>
    <mergeCell ref="A4:C4"/>
    <mergeCell ref="A7:C7"/>
    <mergeCell ref="A10:C10"/>
    <mergeCell ref="A13:C13"/>
    <mergeCell ref="A16:C16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2026-03-19T10:56:03Z</dcterms:created>
  <dc:creator>openpyxl</dc:creator>
  <dc:description/>
  <dc:language>en-US</dc:language>
  <cp:lastModifiedBy/>
  <dcterms:modified xsi:type="dcterms:W3CDTF">2026-03-19T11:56:11Z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