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mpanie unified" sheetId="1" state="visible" r:id="rId3"/>
    <sheet name="Meta bez KPI" sheetId="2" state="visible" r:id="rId4"/>
    <sheet name="Podsumowanie" sheetId="3" state="visible" r:id="rId5"/>
  </sheets>
  <definedNames>
    <definedName function="false" hidden="true" localSheetId="0" name="_xlnm._FilterDatabase" vbProcedure="false">'Kampanie unified'!$A$2:$R$20</definedName>
    <definedName function="false" hidden="true" localSheetId="1" name="_xlnm._FilterDatabase" vbProcedure="false">'Meta bez KPI'!$A$1:$G$12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<sst xmlns="http://schemas.openxmlformats.org/spreadsheetml/2006/main" count="271" uniqueCount="178">
  <si>
    <t xml:space="preserve">PostHog</t>
  </si>
  <si>
    <t xml:space="preserve">Meta Ads</t>
  </si>
  <si>
    <t xml:space="preserve">Analiza</t>
  </si>
  <si>
    <t xml:space="preserve">Notion</t>
  </si>
  <si>
    <t xml:space="preserve">Materiał / kampania</t>
  </si>
  <si>
    <t xml:space="preserve">Klient</t>
  </si>
  <si>
    <t xml:space="preserve">Format</t>
  </si>
  <si>
    <t xml:space="preserve">Deadline</t>
  </si>
  <si>
    <t xml:space="preserve">UU login</t>
  </si>
  <si>
    <t xml:space="preserve">KPI target</t>
  </si>
  <si>
    <t xml:space="preserve">Realizacja %</t>
  </si>
  <si>
    <t xml:space="preserve">Brakuje UU</t>
  </si>
  <si>
    <t xml:space="preserve">Meta spend (PLN)</t>
  </si>
  <si>
    <t xml:space="preserve">Wyniki</t>
  </si>
  <si>
    <t xml:space="preserve">CPR (PLN)</t>
  </si>
  <si>
    <t xml:space="preserve">Zasięg</t>
  </si>
  <si>
    <t xml:space="preserve">Częstotl.</t>
  </si>
  <si>
    <t xml:space="preserve">Adsetów</t>
  </si>
  <si>
    <t xml:space="preserve">Status</t>
  </si>
  <si>
    <t xml:space="preserve">Co zrobić</t>
  </si>
  <si>
    <t xml:space="preserve">Projekt (Notion)</t>
  </si>
  <si>
    <t xml:space="preserve">Materiał (Notion)</t>
  </si>
  <si>
    <t xml:space="preserve">GLP-1 / Cholestil</t>
  </si>
  <si>
    <t xml:space="preserve">Adamed</t>
  </si>
  <si>
    <t xml:space="preserve">Medyczne espresso</t>
  </si>
  <si>
    <t xml:space="preserve">31.03</t>
  </si>
  <si>
    <t xml:space="preserve">🔴 Zagrożone</t>
  </si>
  <si>
    <t xml:space="preserve">Max budżet Meta + newsletter diabetologia + kardiologia + push. Rozważ przesunięcie deadline z klientem.</t>
  </si>
  <si>
    <t xml:space="preserve">—</t>
  </si>
  <si>
    <t xml:space="preserve">3-2026 Adamed Cholestil</t>
  </si>
  <si>
    <t xml:space="preserve">Neoangin (benzydamina)</t>
  </si>
  <si>
    <t xml:space="preserve">Klosterfrau</t>
  </si>
  <si>
    <t xml:space="preserve">5 min o leku</t>
  </si>
  <si>
    <t xml:space="preserve">🟠 Uwaga</t>
  </si>
  <si>
    <t xml:space="preserve">Podwój Meta + newsletter laryngologia + push. Sezon przeziębień się kończy.</t>
  </si>
  <si>
    <t xml:space="preserve">251-2025 Klosterfrau NeoAngin</t>
  </si>
  <si>
    <t xml:space="preserve">Mometazon+olopatadyna (Ryaltris)</t>
  </si>
  <si>
    <t xml:space="preserve">Glenmark</t>
  </si>
  <si>
    <t xml:space="preserve">Zwiększ Meta 2× + newsletter alergologia. Szczyt sezonu alergii.</t>
  </si>
  <si>
    <t xml:space="preserve">237-2025 Glenmark Marimer</t>
  </si>
  <si>
    <t xml:space="preserve">5min Mometazon Ryaltris</t>
  </si>
  <si>
    <t xml:space="preserve">Marimer – nieżyt nosa</t>
  </si>
  <si>
    <t xml:space="preserve">VOD</t>
  </si>
  <si>
    <t xml:space="preserve">Newsletter pediatria + alergologia + push. Sezonowość na korzyść.</t>
  </si>
  <si>
    <t xml:space="preserve">Poradnik Katar Marimer</t>
  </si>
  <si>
    <t xml:space="preserve">Case: 45-latka astma – Bufomix</t>
  </si>
  <si>
    <t xml:space="preserve">OrionPharma</t>
  </si>
  <si>
    <t xml:space="preserve">Przypadek kliniczny</t>
  </si>
  <si>
    <t xml:space="preserve">20.01 ⚠️</t>
  </si>
  <si>
    <t xml:space="preserve">ALARM: deadline minął 20.01, publikacja dopiero 9.03. Renegocjuj z klientem.</t>
  </si>
  <si>
    <t xml:space="preserve">199-2025 OrionPharma Bufomix</t>
  </si>
  <si>
    <t xml:space="preserve">DiL Astma Bufomix</t>
  </si>
  <si>
    <t xml:space="preserve">Escitalopram (Escitil)</t>
  </si>
  <si>
    <t xml:space="preserve">Egis</t>
  </si>
  <si>
    <t xml:space="preserve">🟡 Na drodze</t>
  </si>
  <si>
    <t xml:space="preserve">Szansa na domknięcie. Utrzymaj Meta + newsletter psychiatria + push.</t>
  </si>
  <si>
    <t xml:space="preserve">229-2025 Egis Escitalopram</t>
  </si>
  <si>
    <t xml:space="preserve">5min Escitalopram</t>
  </si>
  <si>
    <t xml:space="preserve">Profilaktyka RSV – Abrysvo</t>
  </si>
  <si>
    <t xml:space="preserve">Pfizer</t>
  </si>
  <si>
    <t xml:space="preserve">28.02</t>
  </si>
  <si>
    <t xml:space="preserve">Prawie domknięty (98%)! 12 UU — newsletter + push zamknie KPI. Ruch organiczny.</t>
  </si>
  <si>
    <t xml:space="preserve">159-2025 Pfizer Abrysvo</t>
  </si>
  <si>
    <t xml:space="preserve">ME RSV Abrysvo</t>
  </si>
  <si>
    <t xml:space="preserve">D&amp;L: Intensyfikacja POChP</t>
  </si>
  <si>
    <t xml:space="preserve">Chiesi</t>
  </si>
  <si>
    <t xml:space="preserve">Diagnozuj i lecz</t>
  </si>
  <si>
    <t xml:space="preserve">08.03</t>
  </si>
  <si>
    <t xml:space="preserve">Brakuje 72 UU. Newsletter pulmonologia powinien wystarczyć.</t>
  </si>
  <si>
    <t xml:space="preserve">DiL POChP Chiesi</t>
  </si>
  <si>
    <t xml:space="preserve">Case: 28-latka ciąża – Bonjesta</t>
  </si>
  <si>
    <t xml:space="preserve">Exeltis</t>
  </si>
  <si>
    <t xml:space="preserve">16.03</t>
  </si>
  <si>
    <t xml:space="preserve">Brakuje 104 UU. Newsletter ginekologia + push.</t>
  </si>
  <si>
    <t xml:space="preserve">235-2024 Exeltis Bonjesta</t>
  </si>
  <si>
    <t xml:space="preserve">ICS Ciąża Bonjesta</t>
  </si>
  <si>
    <t xml:space="preserve">Rivaroxaban (Xiltess)</t>
  </si>
  <si>
    <t xml:space="preserve">✅ Domknięte</t>
  </si>
  <si>
    <t xml:space="preserve">KPI przekroczone! Zmniejsz Meta spend, przesuń budżet na zagrożone.</t>
  </si>
  <si>
    <t xml:space="preserve">25-2026 Egis Xiltess</t>
  </si>
  <si>
    <t xml:space="preserve">5min Rivaroxaban Xiltess</t>
  </si>
  <si>
    <t xml:space="preserve">Obrzęk stawu skokowego</t>
  </si>
  <si>
    <t xml:space="preserve">MagnaPharm</t>
  </si>
  <si>
    <t xml:space="preserve">KPI przekroczone — 100% organiczny. Case study skuteczności platformy.</t>
  </si>
  <si>
    <t xml:space="preserve">ICS MagnaPharm Reparil</t>
  </si>
  <si>
    <t xml:space="preserve">D&amp;L: Zwyrodnienie kolana</t>
  </si>
  <si>
    <t xml:space="preserve">HascoLek</t>
  </si>
  <si>
    <t xml:space="preserve">Realizacja 88% — powinien domknąć KPI sam. Nie potrzebuje Meta.</t>
  </si>
  <si>
    <t xml:space="preserve">9-2025 HascoLek Vicetan</t>
  </si>
  <si>
    <t xml:space="preserve">D&amp;L: Cukrzyca t.2 + tarczyca</t>
  </si>
  <si>
    <t xml:space="preserve">Merck</t>
  </si>
  <si>
    <t xml:space="preserve">Na dobrej drodze (79%). Domknie KPI w 2–3 tygodnie.</t>
  </si>
  <si>
    <t xml:space="preserve">234-2025 Merck DiL</t>
  </si>
  <si>
    <t xml:space="preserve">DiL Cukrzyca+tarczyca</t>
  </si>
  <si>
    <t xml:space="preserve">Modyfikacja leczenia (TD)</t>
  </si>
  <si>
    <t xml:space="preserve">CPR 4,60 — najdroższy VOD. Rozważ przesunięcie budżetu na tańsze formaty.</t>
  </si>
  <si>
    <t xml:space="preserve">229-2025 Egis</t>
  </si>
  <si>
    <t xml:space="preserve">VOD TD Modyfikacja leczenia</t>
  </si>
  <si>
    <t xml:space="preserve">Case: 60-latka – kolano</t>
  </si>
  <si>
    <t xml:space="preserve">Postęp wolny (44%). Rozważ uruchomienie Meta lub newsletter ortopedia.</t>
  </si>
  <si>
    <t xml:space="preserve">Obniżenie nastroju (Trittico)</t>
  </si>
  <si>
    <t xml:space="preserve">Angelini</t>
  </si>
  <si>
    <t xml:space="preserve">Poradnik</t>
  </si>
  <si>
    <t xml:space="preserve">📊 Meta only</t>
  </si>
  <si>
    <t xml:space="preserve">Gwiazda portfela — CPR 0,48 zł. Sprawdź z Notion, czy klient potrzebuje raport UU.</t>
  </si>
  <si>
    <t xml:space="preserve">Poradnik Obniżenie nastroju Trittico</t>
  </si>
  <si>
    <t xml:space="preserve">Stłuszczeniowa ch. wątroby</t>
  </si>
  <si>
    <t xml:space="preserve">BauschHealth</t>
  </si>
  <si>
    <t xml:space="preserve">Bardzo dobry CPR. Skonfiguruj KPI tracking w PostHog.</t>
  </si>
  <si>
    <t xml:space="preserve">Poradnik Stłuszczeniowa wątroba</t>
  </si>
  <si>
    <t xml:space="preserve">Kalkulatory psychiatryczne</t>
  </si>
  <si>
    <t xml:space="preserve">Kalkulatory</t>
  </si>
  <si>
    <t xml:space="preserve">Świetny format. Sprawdź UU w PostHog — argument do rozszerzenia współpracy z Egis.</t>
  </si>
  <si>
    <t xml:space="preserve">Kalkulatory psychiatryczne Egis</t>
  </si>
  <si>
    <t xml:space="preserve">ŁĄCZNIE / ŚREDNIA</t>
  </si>
  <si>
    <t xml:space="preserve">Kampania / zestaw reklam</t>
  </si>
  <si>
    <t xml:space="preserve">Klient / typ</t>
  </si>
  <si>
    <t xml:space="preserve">Spend (PLN)</t>
  </si>
  <si>
    <t xml:space="preserve">Typ wyniku</t>
  </si>
  <si>
    <t xml:space="preserve">Notatka</t>
  </si>
  <si>
    <t xml:space="preserve">Nagrania konferencji (26 zestawów)</t>
  </si>
  <si>
    <t xml:space="preserve">Remedium</t>
  </si>
  <si>
    <t xml:space="preserve">Video Play</t>
  </si>
  <si>
    <t xml:space="preserve">33% budżetu! Brak jasnego KPI — zrewiduj.</t>
  </si>
  <si>
    <t xml:space="preserve">Rejestracje – Prospecting</t>
  </si>
  <si>
    <t xml:space="preserve">Rejestracja</t>
  </si>
  <si>
    <t xml:space="preserve">CPR 9,83 — drogie. Sprawdź retention nowych userów.</t>
  </si>
  <si>
    <t xml:space="preserve">PKwPOZ Diabetologia 2026</t>
  </si>
  <si>
    <t xml:space="preserve">Konferencja</t>
  </si>
  <si>
    <t xml:space="preserve">Zapisy</t>
  </si>
  <si>
    <t xml:space="preserve">Dobry CPR. Zapisy na konferencję.</t>
  </si>
  <si>
    <t xml:space="preserve">MKK 2026</t>
  </si>
  <si>
    <t xml:space="preserve">Wyższy CPR niż PKwPOZ.</t>
  </si>
  <si>
    <t xml:space="preserve">Poradniki Glenmark (3 szt.)</t>
  </si>
  <si>
    <t xml:space="preserve">LPV</t>
  </si>
  <si>
    <t xml:space="preserve">Alergologia + kardiologia. Razem 2432 PLN.</t>
  </si>
  <si>
    <t xml:space="preserve">Poradnik Migrena</t>
  </si>
  <si>
    <t xml:space="preserve">Teva</t>
  </si>
  <si>
    <t xml:space="preserve">Solidny zasięg, dobry CPR.</t>
  </si>
  <si>
    <t xml:space="preserve">Webinar Antydepresant</t>
  </si>
  <si>
    <t xml:space="preserve">Zapisy na webinar.</t>
  </si>
  <si>
    <t xml:space="preserve">Kursy (2 szt.)</t>
  </si>
  <si>
    <t xml:space="preserve">Odtworzenie</t>
  </si>
  <si>
    <t xml:space="preserve">CPR 2,15 za odtworzenie kursu.</t>
  </si>
  <si>
    <t xml:space="preserve">FB reactions (konf + webinary)</t>
  </si>
  <si>
    <t xml:space="preserve">Mix</t>
  </si>
  <si>
    <t xml:space="preserve">Reakcje FB</t>
  </si>
  <si>
    <t xml:space="preserve">Tani engagement format.</t>
  </si>
  <si>
    <t xml:space="preserve">ICS NSTEMI</t>
  </si>
  <si>
    <t xml:space="preserve">Świeży, mały budżet.</t>
  </si>
  <si>
    <t xml:space="preserve">Kolonoskopia</t>
  </si>
  <si>
    <t xml:space="preserve">Swixx</t>
  </si>
  <si>
    <t xml:space="preserve">Dopiero startuje.</t>
  </si>
  <si>
    <t xml:space="preserve">ŁĄCZNIE</t>
  </si>
  <si>
    <t xml:space="preserve">Aktywne kampanie — podsumowanie</t>
  </si>
  <si>
    <t xml:space="preserve">Metryka</t>
  </si>
  <si>
    <t xml:space="preserve">Wartość</t>
  </si>
  <si>
    <t xml:space="preserve">Materiałów z KPI (PostHog)</t>
  </si>
  <si>
    <t xml:space="preserve">KPI domknięte (≥100%)</t>
  </si>
  <si>
    <t xml:space="preserve">Zagrożone (&lt;50%)</t>
  </si>
  <si>
    <t xml:space="preserve">Materiałów z aktywną Meta</t>
  </si>
  <si>
    <t xml:space="preserve">Materiałów bez Meta (organika)</t>
  </si>
  <si>
    <t xml:space="preserve">PostHog — łącznie</t>
  </si>
  <si>
    <t xml:space="preserve">UU login (suma)</t>
  </si>
  <si>
    <t xml:space="preserve">KPI target (suma)</t>
  </si>
  <si>
    <t xml:space="preserve">Meta Ads — łącznie</t>
  </si>
  <si>
    <t xml:space="preserve">Spend materiały z KPI</t>
  </si>
  <si>
    <t xml:space="preserve">Spend materiały bez KPI</t>
  </si>
  <si>
    <t xml:space="preserve">Spend Meta-only (arkusz 2)</t>
  </si>
  <si>
    <t xml:space="preserve">TOTAL Meta spend</t>
  </si>
  <si>
    <t xml:space="preserve">CPR ranking formatów</t>
  </si>
  <si>
    <t xml:space="preserve">Poradniki / treści klienckie</t>
  </si>
  <si>
    <t xml:space="preserve">0.48–0.65</t>
  </si>
  <si>
    <t xml:space="preserve">0.93</t>
  </si>
  <si>
    <t xml:space="preserve">1.85–3.01</t>
  </si>
  <si>
    <t xml:space="preserve">3.07–4.60</t>
  </si>
  <si>
    <t xml:space="preserve">Rejestracje</t>
  </si>
  <si>
    <t xml:space="preserve">9.83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</si>
</sst>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2C55E"/>
      <name val="Arial"/>
      <family val="0"/>
      <charset val="1"/>
    </font>
    <font>
      <sz val="9"/>
      <color rgb="FF444444"/>
      <name val="Arial"/>
      <family val="0"/>
      <charset val="1"/>
    </font>
    <font>
      <sz val="9"/>
      <color rgb="FF888888"/>
      <name val="Arial"/>
      <family val="0"/>
      <charset val="1"/>
    </font>
    <font>
      <u val="single"/>
      <sz val="9"/>
      <color rgb="FF6366F1"/>
      <name val="Arial"/>
      <family val="0"/>
      <charset val="1"/>
    </font>
    <font>
      <b val="true"/>
      <sz val="10"/>
      <color rgb="FFEA580C"/>
      <name val="Arial"/>
      <family val="0"/>
      <charset val="1"/>
    </font>
    <font>
      <b val="true"/>
      <sz val="10"/>
      <color rgb="FFCA8A04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b val="true"/>
      <sz val="11"/>
      <color rgb="FF6366F1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b val="true"/>
      <sz val="14"/>
      <color rgb="FF6366F1"/>
      <name val="Arial"/>
      <family val="0"/>
      <charset val="1"/>
    </font>
    <font>
      <b val="true"/>
      <sz val="10"/>
      <color rgb="FF6366F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22C55E"/>
        <bgColor rgb="FF16A34A"/>
      </patternFill>
    </fill>
    <fill>
      <patternFill patternType="solid">
        <fgColor rgb="FF3B82F6"/>
        <bgColor rgb="FF2563EB"/>
      </patternFill>
    </fill>
    <fill>
      <patternFill patternType="solid">
        <fgColor rgb="FFF59E0B"/>
        <bgColor rgb="FFCA8A04"/>
      </patternFill>
    </fill>
    <fill>
      <patternFill patternType="solid">
        <fgColor rgb="FF374151"/>
        <bgColor rgb="FF444444"/>
      </patternFill>
    </fill>
    <fill>
      <patternFill patternType="solid">
        <fgColor rgb="FF16A34A"/>
        <bgColor rgb="FF22C55E"/>
      </patternFill>
    </fill>
    <fill>
      <patternFill patternType="solid">
        <fgColor rgb="FF2563EB"/>
        <bgColor rgb="FF3B82F6"/>
      </patternFill>
    </fill>
    <fill>
      <patternFill patternType="solid">
        <fgColor rgb="FFD97706"/>
        <bgColor rgb="FFCA8A04"/>
      </patternFill>
    </fill>
    <fill>
      <patternFill patternType="solid">
        <fgColor rgb="FFDCFCE7"/>
        <bgColor rgb="FFF0FDF4"/>
      </patternFill>
    </fill>
    <fill>
      <patternFill patternType="solid">
        <fgColor rgb="FFDBEAFE"/>
        <bgColor rgb="FFEEF2FF"/>
      </patternFill>
    </fill>
    <fill>
      <patternFill patternType="solid">
        <fgColor rgb="FFFEE2E2"/>
        <bgColor rgb="FFEEF2FF"/>
      </patternFill>
    </fill>
    <fill>
      <patternFill patternType="solid">
        <fgColor rgb="FFFEF9C3"/>
        <bgColor rgb="FFF0FDF4"/>
      </patternFill>
    </fill>
    <fill>
      <patternFill patternType="solid">
        <fgColor rgb="FFF8F9FA"/>
        <bgColor rgb="FFF0FDF4"/>
      </patternFill>
    </fill>
    <fill>
      <patternFill patternType="solid">
        <fgColor rgb="FFF0FDF4"/>
        <bgColor rgb="FFF8F9FA"/>
      </patternFill>
    </fill>
    <fill>
      <patternFill patternType="solid">
        <fgColor rgb="FF6366F1"/>
        <bgColor rgb="FF3B82F6"/>
      </patternFill>
    </fill>
    <fill>
      <patternFill patternType="solid">
        <fgColor rgb="FFEEF2FF"/>
        <bgColor rgb="FFF8F9F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D1D5DB"/>
      </right>
      <top/>
      <bottom style="thin">
        <color rgb="FFD1D5DB"/>
      </bottom>
      <diagonal/>
    </border>
    <border diagonalUp="false" diagonalDown="false">
      <left/>
      <right/>
      <top style="medium">
        <color rgb="FF6366F1"/>
      </top>
      <bottom style="medium">
        <color rgb="FF6366F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37415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22C55E"/>
          <bgColor rgb="FF000000"/>
        </patternFill>
      </fill>
    </dxf>
    <dxf>
      <fill>
        <patternFill patternType="solid">
          <fgColor rgb="FFCA8A04"/>
          <bgColor rgb="FF000000"/>
        </patternFill>
      </fill>
    </dxf>
    <dxf>
      <fill>
        <patternFill patternType="solid">
          <fgColor rgb="FFEA580C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6366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A8A04"/>
      <rgbColor rgb="FF800080"/>
      <rgbColor rgb="FF008080"/>
      <rgbColor rgb="FFEEF2FF"/>
      <rgbColor rgb="FF888888"/>
      <rgbColor rgb="FF9999FF"/>
      <rgbColor rgb="FFEF4444"/>
      <rgbColor rgb="FFFEF9C3"/>
      <rgbColor rgb="FFDCFCE7"/>
      <rgbColor rgb="FF660066"/>
      <rgbColor rgb="FFD97706"/>
      <rgbColor rgb="FF3B82F6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0FDF4"/>
      <rgbColor rgb="FFF8F9FA"/>
      <rgbColor rgb="FF99CCFF"/>
      <rgbColor rgb="FFFF99CC"/>
      <rgbColor rgb="FFCC99FF"/>
      <rgbColor rgb="FFFEE2E2"/>
      <rgbColor rgb="FF2563EB"/>
      <rgbColor rgb="FF22C55E"/>
      <rgbColor rgb="FF99CC00"/>
      <rgbColor rgb="FFFFCC00"/>
      <rgbColor rgb="FFF59E0B"/>
      <rgbColor rgb="FFEA580C"/>
      <rgbColor rgb="FF6366F1"/>
      <rgbColor rgb="FF969696"/>
      <rgbColor rgb="FF003366"/>
      <rgbColor rgb="FF16A34A"/>
      <rgbColor rgb="FF003300"/>
      <rgbColor rgb="FF222222"/>
      <rgbColor rgb="FF993300"/>
      <rgbColor rgb="FF993366"/>
      <rgbColor rgb="FF444444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otion.so/2e902785b05c803b97c5c33df5cfc8e0" TargetMode="External"/><Relationship Id="rId2" Type="http://schemas.openxmlformats.org/officeDocument/2006/relationships/hyperlink" Target="https://www.notion.so/2e602785b05c80f9972fdc7a80642d29" TargetMode="External"/><Relationship Id="rId3" Type="http://schemas.openxmlformats.org/officeDocument/2006/relationships/hyperlink" Target="https://www.notion.so/2c602785b05c80909eb8e582fe458be6" TargetMode="External"/><Relationship Id="rId4" Type="http://schemas.openxmlformats.org/officeDocument/2006/relationships/hyperlink" Target="https://www.notion.so/2ee02785b05c80e2a981f792bec0b679" TargetMode="External"/><Relationship Id="rId5" Type="http://schemas.openxmlformats.org/officeDocument/2006/relationships/hyperlink" Target="https://www.notion.so/2c602785b05c80909eb8e582fe458be6" TargetMode="External"/><Relationship Id="rId6" Type="http://schemas.openxmlformats.org/officeDocument/2006/relationships/hyperlink" Target="https://www.notion.so/2c602785b05c809b8d98f7b86c48813e" TargetMode="External"/><Relationship Id="rId7" Type="http://schemas.openxmlformats.org/officeDocument/2006/relationships/hyperlink" Target="https://www.notion.so/2bc02785b05c80dfbf72ce104cb8d49e" TargetMode="External"/><Relationship Id="rId8" Type="http://schemas.openxmlformats.org/officeDocument/2006/relationships/hyperlink" Target="https://www.notion.so/31f02785b05c8071ac98dda80be56196" TargetMode="External"/><Relationship Id="rId9" Type="http://schemas.openxmlformats.org/officeDocument/2006/relationships/hyperlink" Target="https://www.notion.so/2c002785b05c8060b27cf9aa5e53fff1" TargetMode="External"/><Relationship Id="rId10" Type="http://schemas.openxmlformats.org/officeDocument/2006/relationships/hyperlink" Target="https://www.notion.so/2c302785b05c80abb327c1354064f21e" TargetMode="External"/><Relationship Id="rId11" Type="http://schemas.openxmlformats.org/officeDocument/2006/relationships/hyperlink" Target="https://www.notion.so/26b02785b05c806dad19c1ee9e56a53f" TargetMode="External"/><Relationship Id="rId12" Type="http://schemas.openxmlformats.org/officeDocument/2006/relationships/hyperlink" Target="https://www.notion.so/26b02785b05c806aad44f28172754b14" TargetMode="External"/><Relationship Id="rId13" Type="http://schemas.openxmlformats.org/officeDocument/2006/relationships/hyperlink" Target="https://www.notion.so/2c302785b05c8031b943f152a414e8d9" TargetMode="External"/><Relationship Id="rId14" Type="http://schemas.openxmlformats.org/officeDocument/2006/relationships/hyperlink" Target="https://www.notion.so/16c02785b05c805e87bec86bc5b17773" TargetMode="External"/><Relationship Id="rId15" Type="http://schemas.openxmlformats.org/officeDocument/2006/relationships/hyperlink" Target="https://www.notion.so/2c502785b05c80daa645e877a44bc188" TargetMode="External"/><Relationship Id="rId16" Type="http://schemas.openxmlformats.org/officeDocument/2006/relationships/hyperlink" Target="https://www.notion.so/30502785b05c806aaf6cc1bdb537aa71" TargetMode="External"/><Relationship Id="rId17" Type="http://schemas.openxmlformats.org/officeDocument/2006/relationships/hyperlink" Target="https://www.notion.so/30602785b05c80a5be9ff29730993e57" TargetMode="External"/><Relationship Id="rId18" Type="http://schemas.openxmlformats.org/officeDocument/2006/relationships/hyperlink" Target="https://www.notion.so/2e802785b05c80f88abbc53cb1c8ce08" TargetMode="External"/><Relationship Id="rId19" Type="http://schemas.openxmlformats.org/officeDocument/2006/relationships/hyperlink" Target="https://www.notion.so/18302785b05c80d8811ef16a81e43f16" TargetMode="External"/><Relationship Id="rId20" Type="http://schemas.openxmlformats.org/officeDocument/2006/relationships/hyperlink" Target="https://www.notion.so/31002785b05c80c4bf0ad9cb50de1de6" TargetMode="External"/><Relationship Id="rId21" Type="http://schemas.openxmlformats.org/officeDocument/2006/relationships/hyperlink" Target="https://www.notion.so/30102785b05c8008846ed7472db3d247" TargetMode="External"/><Relationship Id="rId22" Type="http://schemas.openxmlformats.org/officeDocument/2006/relationships/hyperlink" Target="https://www.notion.so/2c002785b05c8060b27cf9aa5e53fff1" TargetMode="External"/><Relationship Id="rId23" Type="http://schemas.openxmlformats.org/officeDocument/2006/relationships/hyperlink" Target="https://www.notion.so/31102785b05c8029812fc62d9510fdb4" TargetMode="External"/><Relationship Id="rId24" Type="http://schemas.openxmlformats.org/officeDocument/2006/relationships/hyperlink" Target="https://www.notion.so/18302785b05c80d8811ef16a81e43f16" TargetMode="External"/><Relationship Id="rId25" Type="http://schemas.openxmlformats.org/officeDocument/2006/relationships/hyperlink" Target="https://www.notion.so/1f402785b05c8077a693d6964fb498bb" TargetMode="External"/><Relationship Id="rId26" Type="http://schemas.openxmlformats.org/officeDocument/2006/relationships/hyperlink" Target="https://www.notion.so/1f302785b05c80bc95c8e3aa69e5a3e7" TargetMode="External"/><Relationship Id="rId27" Type="http://schemas.openxmlformats.org/officeDocument/2006/relationships/hyperlink" Target="https://www.notion.so/2c002785b05c8060b27cf9aa5e53fff1" TargetMode="External"/><Relationship Id="rId28" Type="http://schemas.openxmlformats.org/officeDocument/2006/relationships/hyperlink" Target="https://www.notion.so/2ee02785b05c80359443d196b3ea46a8" TargetMode="External"/><Relationship Id="rId29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6" min="5" style="1" width="10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1" min="10" style="1" width="10"/>
    <col collapsed="false" customWidth="true" hidden="false" outlineLevel="0" max="12" min="12" style="1" width="12"/>
    <col collapsed="false" customWidth="true" hidden="false" outlineLevel="0" max="14" min="13" style="1" width="8"/>
    <col collapsed="false" customWidth="true" hidden="false" outlineLevel="0" max="15" min="15" style="1" width="14"/>
    <col collapsed="false" customWidth="true" hidden="false" outlineLevel="0" max="16" min="16" style="1" width="55"/>
    <col collapsed="false" customWidth="true" hidden="false" outlineLevel="0" max="18" min="17" style="0" width="22"/>
  </cols>
  <sheetData>
    <row r="1" customFormat="false" ht="15" hidden="false" customHeight="true" outlineLevel="0" collapsed="false">
      <c r="E1" s="2" t="s">
        <v>0</v>
      </c>
      <c r="F1" s="2"/>
      <c r="G1" s="2"/>
      <c r="H1" s="2"/>
      <c r="I1" s="3" t="s">
        <v>1</v>
      </c>
      <c r="J1" s="3"/>
      <c r="K1" s="3"/>
      <c r="L1" s="3"/>
      <c r="M1" s="3"/>
      <c r="N1" s="3"/>
      <c r="O1" s="4" t="s">
        <v>2</v>
      </c>
      <c r="P1" s="4"/>
      <c r="Q1" s="5" t="s">
        <v>3</v>
      </c>
      <c r="R1" s="5"/>
    </row>
    <row r="2" customFormat="false" ht="23.25" hidden="false" customHeight="true" outlineLevel="0" collapsed="false">
      <c r="A2" s="6" t="s">
        <v>4</v>
      </c>
      <c r="B2" s="6" t="s">
        <v>5</v>
      </c>
      <c r="C2" s="6" t="s">
        <v>6</v>
      </c>
      <c r="D2" s="6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9" t="s">
        <v>18</v>
      </c>
      <c r="P2" s="9" t="s">
        <v>19</v>
      </c>
      <c r="Q2" s="10" t="s">
        <v>20</v>
      </c>
      <c r="R2" s="10" t="s">
        <v>21</v>
      </c>
    </row>
    <row r="3" customFormat="false" ht="21.75" hidden="false" customHeight="true" outlineLevel="0" collapsed="false">
      <c r="A3" s="11" t="s">
        <v>22</v>
      </c>
      <c r="B3" s="12" t="s">
        <v>23</v>
      </c>
      <c r="C3" s="12" t="s">
        <v>24</v>
      </c>
      <c r="D3" s="13" t="s">
        <v>25</v>
      </c>
      <c r="E3" s="14" t="n">
        <v>177</v>
      </c>
      <c r="F3" s="14" t="n">
        <v>500</v>
      </c>
      <c r="G3" s="15" t="n">
        <f aca="false">E3/F3</f>
        <v>0.354</v>
      </c>
      <c r="H3" s="14" t="n">
        <f aca="false">IF(F3-E3&gt;0,F3-E3,0)</f>
        <v>323</v>
      </c>
      <c r="I3" s="16" t="n">
        <v>379.67</v>
      </c>
      <c r="J3" s="17" t="n">
        <v>191</v>
      </c>
      <c r="K3" s="18" t="n">
        <v>1.99</v>
      </c>
      <c r="L3" s="17" t="n">
        <v>12400</v>
      </c>
      <c r="M3" s="19" t="n">
        <v>3.2</v>
      </c>
      <c r="N3" s="20" t="n">
        <v>1</v>
      </c>
      <c r="O3" s="21" t="s">
        <v>26</v>
      </c>
      <c r="P3" s="22" t="s">
        <v>27</v>
      </c>
      <c r="Q3" s="23" t="s">
        <v>28</v>
      </c>
      <c r="R3" s="24" t="s">
        <v>29</v>
      </c>
    </row>
    <row r="4" customFormat="false" ht="21.75" hidden="false" customHeight="true" outlineLevel="0" collapsed="false">
      <c r="A4" s="11" t="s">
        <v>30</v>
      </c>
      <c r="B4" s="12" t="s">
        <v>31</v>
      </c>
      <c r="C4" s="12" t="s">
        <v>32</v>
      </c>
      <c r="D4" s="13" t="s">
        <v>25</v>
      </c>
      <c r="E4" s="14" t="n">
        <v>257</v>
      </c>
      <c r="F4" s="14" t="n">
        <v>500</v>
      </c>
      <c r="G4" s="25" t="n">
        <f aca="false">E4/F4</f>
        <v>0.514</v>
      </c>
      <c r="H4" s="14" t="n">
        <f aca="false">IF(F4-E4&gt;0,F4-E4,0)</f>
        <v>243</v>
      </c>
      <c r="I4" s="16" t="n">
        <v>198.84</v>
      </c>
      <c r="J4" s="17" t="n">
        <v>66</v>
      </c>
      <c r="K4" s="26" t="n">
        <v>3.01</v>
      </c>
      <c r="L4" s="17" t="n">
        <v>4900</v>
      </c>
      <c r="M4" s="19" t="n">
        <v>2.3</v>
      </c>
      <c r="N4" s="20" t="n">
        <v>1</v>
      </c>
      <c r="O4" s="27" t="s">
        <v>33</v>
      </c>
      <c r="P4" s="22" t="s">
        <v>34</v>
      </c>
      <c r="Q4" s="23" t="s">
        <v>28</v>
      </c>
      <c r="R4" s="24" t="s">
        <v>35</v>
      </c>
    </row>
    <row r="5" customFormat="false" ht="15" hidden="false" customHeight="true" outlineLevel="0" collapsed="false">
      <c r="A5" s="11" t="s">
        <v>36</v>
      </c>
      <c r="B5" s="12" t="s">
        <v>37</v>
      </c>
      <c r="C5" s="12" t="s">
        <v>32</v>
      </c>
      <c r="D5" s="13" t="s">
        <v>25</v>
      </c>
      <c r="E5" s="14" t="n">
        <v>282</v>
      </c>
      <c r="F5" s="14" t="n">
        <v>500</v>
      </c>
      <c r="G5" s="25" t="n">
        <f aca="false">E5/F5</f>
        <v>0.564</v>
      </c>
      <c r="H5" s="14" t="n">
        <f aca="false">IF(F5-E5&gt;0,F5-E5,0)</f>
        <v>218</v>
      </c>
      <c r="I5" s="16" t="n">
        <v>202.56</v>
      </c>
      <c r="J5" s="17" t="n">
        <v>83</v>
      </c>
      <c r="K5" s="26" t="n">
        <v>2.44</v>
      </c>
      <c r="L5" s="17" t="n">
        <v>5600</v>
      </c>
      <c r="M5" s="19" t="n">
        <v>2.4</v>
      </c>
      <c r="N5" s="20" t="n">
        <v>1</v>
      </c>
      <c r="O5" s="27" t="s">
        <v>33</v>
      </c>
      <c r="P5" s="22" t="s">
        <v>38</v>
      </c>
      <c r="Q5" s="24" t="s">
        <v>39</v>
      </c>
      <c r="R5" s="24" t="s">
        <v>40</v>
      </c>
    </row>
    <row r="6" customFormat="false" ht="15" hidden="false" customHeight="true" outlineLevel="0" collapsed="false">
      <c r="A6" s="11" t="s">
        <v>41</v>
      </c>
      <c r="B6" s="12" t="s">
        <v>37</v>
      </c>
      <c r="C6" s="12" t="s">
        <v>42</v>
      </c>
      <c r="D6" s="13" t="s">
        <v>25</v>
      </c>
      <c r="E6" s="14" t="n">
        <v>228</v>
      </c>
      <c r="F6" s="14" t="n">
        <v>400</v>
      </c>
      <c r="G6" s="25" t="n">
        <f aca="false">E6/F6</f>
        <v>0.57</v>
      </c>
      <c r="H6" s="14" t="n">
        <f aca="false">IF(F6-E6&gt;0,F6-E6,0)</f>
        <v>172</v>
      </c>
      <c r="I6" s="16" t="n">
        <v>344.02</v>
      </c>
      <c r="J6" s="17" t="n">
        <v>112</v>
      </c>
      <c r="K6" s="26" t="n">
        <v>3.07</v>
      </c>
      <c r="L6" s="17" t="n">
        <v>9800</v>
      </c>
      <c r="M6" s="19" t="n">
        <v>2.9</v>
      </c>
      <c r="N6" s="20" t="n">
        <v>1</v>
      </c>
      <c r="O6" s="27" t="s">
        <v>33</v>
      </c>
      <c r="P6" s="22" t="s">
        <v>43</v>
      </c>
      <c r="Q6" s="24" t="s">
        <v>39</v>
      </c>
      <c r="R6" s="24" t="s">
        <v>44</v>
      </c>
    </row>
    <row r="7" customFormat="false" ht="21.75" hidden="false" customHeight="true" outlineLevel="0" collapsed="false">
      <c r="A7" s="11" t="s">
        <v>45</v>
      </c>
      <c r="B7" s="12" t="s">
        <v>46</v>
      </c>
      <c r="C7" s="12" t="s">
        <v>47</v>
      </c>
      <c r="D7" s="13" t="s">
        <v>48</v>
      </c>
      <c r="E7" s="14" t="n">
        <v>73</v>
      </c>
      <c r="F7" s="14" t="n">
        <v>400</v>
      </c>
      <c r="G7" s="15" t="n">
        <f aca="false">E7/F7</f>
        <v>0.1825</v>
      </c>
      <c r="H7" s="14" t="n">
        <f aca="false">IF(F7-E7&gt;0,F7-E7,0)</f>
        <v>327</v>
      </c>
      <c r="I7" s="16" t="n">
        <v>92.54</v>
      </c>
      <c r="J7" s="17" t="n">
        <v>50</v>
      </c>
      <c r="K7" s="18" t="n">
        <v>1.85</v>
      </c>
      <c r="L7" s="17" t="n">
        <v>3950</v>
      </c>
      <c r="M7" s="19" t="n">
        <v>2.15</v>
      </c>
      <c r="N7" s="20" t="n">
        <v>2</v>
      </c>
      <c r="O7" s="21" t="s">
        <v>26</v>
      </c>
      <c r="P7" s="22" t="s">
        <v>49</v>
      </c>
      <c r="Q7" s="24" t="s">
        <v>50</v>
      </c>
      <c r="R7" s="24" t="s">
        <v>51</v>
      </c>
    </row>
    <row r="8" customFormat="false" ht="15" hidden="false" customHeight="true" outlineLevel="0" collapsed="false">
      <c r="A8" s="11" t="s">
        <v>52</v>
      </c>
      <c r="B8" s="12" t="s">
        <v>53</v>
      </c>
      <c r="C8" s="12" t="s">
        <v>32</v>
      </c>
      <c r="D8" s="13" t="s">
        <v>25</v>
      </c>
      <c r="E8" s="14" t="n">
        <v>304</v>
      </c>
      <c r="F8" s="14" t="n">
        <v>400</v>
      </c>
      <c r="G8" s="28" t="n">
        <f aca="false">E8/F8</f>
        <v>0.76</v>
      </c>
      <c r="H8" s="14" t="n">
        <f aca="false">IF(F8-E8&gt;0,F8-E8,0)</f>
        <v>96</v>
      </c>
      <c r="I8" s="16" t="n">
        <v>300.48</v>
      </c>
      <c r="J8" s="17" t="n">
        <v>162</v>
      </c>
      <c r="K8" s="18" t="n">
        <v>1.85</v>
      </c>
      <c r="L8" s="17" t="n">
        <v>8700</v>
      </c>
      <c r="M8" s="19" t="n">
        <v>2.7</v>
      </c>
      <c r="N8" s="20" t="n">
        <v>1</v>
      </c>
      <c r="O8" s="29" t="s">
        <v>54</v>
      </c>
      <c r="P8" s="22" t="s">
        <v>55</v>
      </c>
      <c r="Q8" s="24" t="s">
        <v>56</v>
      </c>
      <c r="R8" s="24" t="s">
        <v>57</v>
      </c>
    </row>
    <row r="9" customFormat="false" ht="21.75" hidden="false" customHeight="true" outlineLevel="0" collapsed="false">
      <c r="A9" s="11" t="s">
        <v>58</v>
      </c>
      <c r="B9" s="12" t="s">
        <v>59</v>
      </c>
      <c r="C9" s="12" t="s">
        <v>24</v>
      </c>
      <c r="D9" s="12" t="s">
        <v>60</v>
      </c>
      <c r="E9" s="14" t="n">
        <v>488</v>
      </c>
      <c r="F9" s="14" t="n">
        <v>500</v>
      </c>
      <c r="G9" s="28" t="n">
        <f aca="false">E9/F9</f>
        <v>0.976</v>
      </c>
      <c r="H9" s="14" t="n">
        <f aca="false">IF(F9-E9&gt;0,F9-E9,0)</f>
        <v>12</v>
      </c>
      <c r="I9" s="30" t="n">
        <v>0</v>
      </c>
      <c r="J9" s="30" t="n">
        <v>0</v>
      </c>
      <c r="K9" s="31" t="s">
        <v>28</v>
      </c>
      <c r="L9" s="30" t="n">
        <v>0</v>
      </c>
      <c r="M9" s="31" t="s">
        <v>28</v>
      </c>
      <c r="N9" s="20" t="n">
        <v>0</v>
      </c>
      <c r="O9" s="29" t="s">
        <v>54</v>
      </c>
      <c r="P9" s="22" t="s">
        <v>61</v>
      </c>
      <c r="Q9" s="24" t="s">
        <v>62</v>
      </c>
      <c r="R9" s="24" t="s">
        <v>63</v>
      </c>
    </row>
    <row r="10" customFormat="false" ht="15" hidden="false" customHeight="true" outlineLevel="0" collapsed="false">
      <c r="A10" s="11" t="s">
        <v>64</v>
      </c>
      <c r="B10" s="12" t="s">
        <v>65</v>
      </c>
      <c r="C10" s="12" t="s">
        <v>66</v>
      </c>
      <c r="D10" s="12" t="s">
        <v>67</v>
      </c>
      <c r="E10" s="14" t="n">
        <v>328</v>
      </c>
      <c r="F10" s="14" t="n">
        <v>400</v>
      </c>
      <c r="G10" s="28" t="n">
        <f aca="false">E10/F10</f>
        <v>0.82</v>
      </c>
      <c r="H10" s="14" t="n">
        <f aca="false">IF(F10-E10&gt;0,F10-E10,0)</f>
        <v>72</v>
      </c>
      <c r="I10" s="30" t="n">
        <v>0</v>
      </c>
      <c r="J10" s="30" t="n">
        <v>0</v>
      </c>
      <c r="K10" s="31" t="s">
        <v>28</v>
      </c>
      <c r="L10" s="30" t="n">
        <v>0</v>
      </c>
      <c r="M10" s="31" t="s">
        <v>28</v>
      </c>
      <c r="N10" s="20" t="n">
        <v>0</v>
      </c>
      <c r="O10" s="29" t="s">
        <v>54</v>
      </c>
      <c r="P10" s="22" t="s">
        <v>68</v>
      </c>
      <c r="Q10" s="23" t="s">
        <v>28</v>
      </c>
      <c r="R10" s="24" t="s">
        <v>69</v>
      </c>
    </row>
    <row r="11" customFormat="false" ht="15" hidden="false" customHeight="true" outlineLevel="0" collapsed="false">
      <c r="A11" s="11" t="s">
        <v>70</v>
      </c>
      <c r="B11" s="12" t="s">
        <v>71</v>
      </c>
      <c r="C11" s="12" t="s">
        <v>47</v>
      </c>
      <c r="D11" s="12" t="s">
        <v>72</v>
      </c>
      <c r="E11" s="14" t="n">
        <v>296</v>
      </c>
      <c r="F11" s="14" t="n">
        <v>400</v>
      </c>
      <c r="G11" s="25" t="n">
        <f aca="false">E11/F11</f>
        <v>0.74</v>
      </c>
      <c r="H11" s="14" t="n">
        <f aca="false">IF(F11-E11&gt;0,F11-E11,0)</f>
        <v>104</v>
      </c>
      <c r="I11" s="30" t="n">
        <v>0</v>
      </c>
      <c r="J11" s="30" t="n">
        <v>0</v>
      </c>
      <c r="K11" s="31" t="s">
        <v>28</v>
      </c>
      <c r="L11" s="30" t="n">
        <v>0</v>
      </c>
      <c r="M11" s="31" t="s">
        <v>28</v>
      </c>
      <c r="N11" s="20" t="n">
        <v>0</v>
      </c>
      <c r="O11" s="27" t="s">
        <v>33</v>
      </c>
      <c r="P11" s="22" t="s">
        <v>73</v>
      </c>
      <c r="Q11" s="24" t="s">
        <v>74</v>
      </c>
      <c r="R11" s="24" t="s">
        <v>75</v>
      </c>
    </row>
    <row r="12" customFormat="false" ht="15" hidden="false" customHeight="true" outlineLevel="0" collapsed="false">
      <c r="A12" s="11" t="s">
        <v>76</v>
      </c>
      <c r="B12" s="12" t="s">
        <v>53</v>
      </c>
      <c r="C12" s="12" t="s">
        <v>32</v>
      </c>
      <c r="D12" s="12" t="s">
        <v>28</v>
      </c>
      <c r="E12" s="14" t="n">
        <v>545</v>
      </c>
      <c r="F12" s="14" t="n">
        <v>300</v>
      </c>
      <c r="G12" s="32" t="n">
        <f aca="false">E12/F12</f>
        <v>1.81666666666667</v>
      </c>
      <c r="H12" s="14" t="n">
        <f aca="false">IF(F12-E12&gt;0,F12-E12,0)</f>
        <v>0</v>
      </c>
      <c r="I12" s="16" t="n">
        <v>104.11</v>
      </c>
      <c r="J12" s="17" t="n">
        <v>39</v>
      </c>
      <c r="K12" s="26" t="n">
        <v>2.67</v>
      </c>
      <c r="L12" s="17" t="n">
        <v>3500</v>
      </c>
      <c r="M12" s="19" t="n">
        <v>2.1</v>
      </c>
      <c r="N12" s="20" t="n">
        <v>1</v>
      </c>
      <c r="O12" s="33" t="s">
        <v>77</v>
      </c>
      <c r="P12" s="22" t="s">
        <v>78</v>
      </c>
      <c r="Q12" s="24" t="s">
        <v>79</v>
      </c>
      <c r="R12" s="24" t="s">
        <v>80</v>
      </c>
    </row>
    <row r="13" customFormat="false" ht="21.75" hidden="false" customHeight="true" outlineLevel="0" collapsed="false">
      <c r="A13" s="11" t="s">
        <v>81</v>
      </c>
      <c r="B13" s="12" t="s">
        <v>82</v>
      </c>
      <c r="C13" s="12" t="s">
        <v>47</v>
      </c>
      <c r="D13" s="12" t="s">
        <v>28</v>
      </c>
      <c r="E13" s="14" t="n">
        <v>505</v>
      </c>
      <c r="F13" s="14" t="n">
        <v>400</v>
      </c>
      <c r="G13" s="32" t="n">
        <f aca="false">E13/F13</f>
        <v>1.2625</v>
      </c>
      <c r="H13" s="14" t="n">
        <f aca="false">IF(F13-E13&gt;0,F13-E13,0)</f>
        <v>0</v>
      </c>
      <c r="I13" s="30" t="n">
        <v>0</v>
      </c>
      <c r="J13" s="30" t="n">
        <v>0</v>
      </c>
      <c r="K13" s="31" t="s">
        <v>28</v>
      </c>
      <c r="L13" s="30" t="n">
        <v>0</v>
      </c>
      <c r="M13" s="31" t="s">
        <v>28</v>
      </c>
      <c r="N13" s="20" t="n">
        <v>0</v>
      </c>
      <c r="O13" s="33" t="s">
        <v>77</v>
      </c>
      <c r="P13" s="22" t="s">
        <v>83</v>
      </c>
      <c r="Q13" s="23" t="s">
        <v>28</v>
      </c>
      <c r="R13" s="24" t="s">
        <v>84</v>
      </c>
    </row>
    <row r="14" customFormat="false" ht="15" hidden="false" customHeight="true" outlineLevel="0" collapsed="false">
      <c r="A14" s="11" t="s">
        <v>85</v>
      </c>
      <c r="B14" s="12" t="s">
        <v>86</v>
      </c>
      <c r="C14" s="12" t="s">
        <v>66</v>
      </c>
      <c r="D14" s="12" t="s">
        <v>28</v>
      </c>
      <c r="E14" s="14" t="n">
        <v>438</v>
      </c>
      <c r="F14" s="14" t="n">
        <v>500</v>
      </c>
      <c r="G14" s="28" t="n">
        <f aca="false">E14/F14</f>
        <v>0.876</v>
      </c>
      <c r="H14" s="14" t="n">
        <f aca="false">IF(F14-E14&gt;0,F14-E14,0)</f>
        <v>62</v>
      </c>
      <c r="I14" s="30" t="n">
        <v>0</v>
      </c>
      <c r="J14" s="30" t="n">
        <v>0</v>
      </c>
      <c r="K14" s="31" t="s">
        <v>28</v>
      </c>
      <c r="L14" s="30" t="n">
        <v>0</v>
      </c>
      <c r="M14" s="31" t="s">
        <v>28</v>
      </c>
      <c r="N14" s="20" t="n">
        <v>0</v>
      </c>
      <c r="O14" s="29" t="s">
        <v>54</v>
      </c>
      <c r="P14" s="22" t="s">
        <v>87</v>
      </c>
      <c r="Q14" s="24" t="s">
        <v>88</v>
      </c>
      <c r="R14" s="23" t="s">
        <v>28</v>
      </c>
    </row>
    <row r="15" customFormat="false" ht="15" hidden="false" customHeight="true" outlineLevel="0" collapsed="false">
      <c r="A15" s="11" t="s">
        <v>89</v>
      </c>
      <c r="B15" s="12" t="s">
        <v>90</v>
      </c>
      <c r="C15" s="12" t="s">
        <v>66</v>
      </c>
      <c r="D15" s="12" t="s">
        <v>28</v>
      </c>
      <c r="E15" s="14" t="n">
        <v>314</v>
      </c>
      <c r="F15" s="14" t="n">
        <v>400</v>
      </c>
      <c r="G15" s="28" t="n">
        <f aca="false">E15/F15</f>
        <v>0.785</v>
      </c>
      <c r="H15" s="14" t="n">
        <f aca="false">IF(F15-E15&gt;0,F15-E15,0)</f>
        <v>86</v>
      </c>
      <c r="I15" s="16" t="n">
        <v>534.47</v>
      </c>
      <c r="J15" s="17" t="n">
        <v>319</v>
      </c>
      <c r="K15" s="18" t="n">
        <v>1.68</v>
      </c>
      <c r="L15" s="17" t="n">
        <v>15826</v>
      </c>
      <c r="M15" s="19" t="n">
        <v>3.21</v>
      </c>
      <c r="N15" s="20" t="n">
        <v>1</v>
      </c>
      <c r="O15" s="29" t="s">
        <v>54</v>
      </c>
      <c r="P15" s="22" t="s">
        <v>91</v>
      </c>
      <c r="Q15" s="24" t="s">
        <v>92</v>
      </c>
      <c r="R15" s="24" t="s">
        <v>93</v>
      </c>
    </row>
    <row r="16" customFormat="false" ht="21.75" hidden="false" customHeight="true" outlineLevel="0" collapsed="false">
      <c r="A16" s="11" t="s">
        <v>94</v>
      </c>
      <c r="B16" s="12" t="s">
        <v>53</v>
      </c>
      <c r="C16" s="12" t="s">
        <v>42</v>
      </c>
      <c r="D16" s="12" t="s">
        <v>28</v>
      </c>
      <c r="E16" s="14" t="n">
        <v>222</v>
      </c>
      <c r="F16" s="14" t="n">
        <v>400</v>
      </c>
      <c r="G16" s="25" t="n">
        <f aca="false">E16/F16</f>
        <v>0.555</v>
      </c>
      <c r="H16" s="14" t="n">
        <f aca="false">IF(F16-E16&gt;0,F16-E16,0)</f>
        <v>178</v>
      </c>
      <c r="I16" s="16" t="n">
        <v>537.89</v>
      </c>
      <c r="J16" s="17" t="n">
        <v>117</v>
      </c>
      <c r="K16" s="34" t="n">
        <v>4.6</v>
      </c>
      <c r="L16" s="17" t="n">
        <v>17200</v>
      </c>
      <c r="M16" s="19" t="n">
        <v>3.5</v>
      </c>
      <c r="N16" s="20" t="n">
        <v>1</v>
      </c>
      <c r="O16" s="27" t="s">
        <v>33</v>
      </c>
      <c r="P16" s="22" t="s">
        <v>95</v>
      </c>
      <c r="Q16" s="24" t="s">
        <v>96</v>
      </c>
      <c r="R16" s="24" t="s">
        <v>97</v>
      </c>
    </row>
    <row r="17" customFormat="false" ht="21.75" hidden="false" customHeight="true" outlineLevel="0" collapsed="false">
      <c r="A17" s="11" t="s">
        <v>98</v>
      </c>
      <c r="B17" s="12" t="s">
        <v>86</v>
      </c>
      <c r="C17" s="12" t="s">
        <v>47</v>
      </c>
      <c r="D17" s="12" t="s">
        <v>28</v>
      </c>
      <c r="E17" s="14" t="n">
        <v>177</v>
      </c>
      <c r="F17" s="14" t="n">
        <v>400</v>
      </c>
      <c r="G17" s="15" t="n">
        <f aca="false">E17/F17</f>
        <v>0.4425</v>
      </c>
      <c r="H17" s="14" t="n">
        <f aca="false">IF(F17-E17&gt;0,F17-E17,0)</f>
        <v>223</v>
      </c>
      <c r="I17" s="30" t="n">
        <v>0</v>
      </c>
      <c r="J17" s="30" t="n">
        <v>0</v>
      </c>
      <c r="K17" s="31" t="s">
        <v>28</v>
      </c>
      <c r="L17" s="30" t="n">
        <v>0</v>
      </c>
      <c r="M17" s="31" t="s">
        <v>28</v>
      </c>
      <c r="N17" s="20" t="n">
        <v>0</v>
      </c>
      <c r="O17" s="21" t="s">
        <v>26</v>
      </c>
      <c r="P17" s="22" t="s">
        <v>99</v>
      </c>
      <c r="Q17" s="24" t="s">
        <v>88</v>
      </c>
      <c r="R17" s="23" t="s">
        <v>28</v>
      </c>
    </row>
    <row r="18" customFormat="false" ht="21.75" hidden="false" customHeight="true" outlineLevel="0" collapsed="false">
      <c r="A18" s="11" t="s">
        <v>100</v>
      </c>
      <c r="B18" s="12" t="s">
        <v>101</v>
      </c>
      <c r="C18" s="12" t="s">
        <v>102</v>
      </c>
      <c r="D18" s="12" t="s">
        <v>28</v>
      </c>
      <c r="E18" s="35" t="s">
        <v>28</v>
      </c>
      <c r="F18" s="35" t="s">
        <v>28</v>
      </c>
      <c r="G18" s="35" t="s">
        <v>28</v>
      </c>
      <c r="H18" s="35" t="s">
        <v>28</v>
      </c>
      <c r="I18" s="16" t="n">
        <v>3235.91</v>
      </c>
      <c r="J18" s="17" t="n">
        <v>6693</v>
      </c>
      <c r="K18" s="18" t="n">
        <v>0.48</v>
      </c>
      <c r="L18" s="17" t="n">
        <v>81095</v>
      </c>
      <c r="M18" s="19" t="n">
        <v>4.75</v>
      </c>
      <c r="N18" s="20" t="n">
        <v>1</v>
      </c>
      <c r="O18" s="36" t="s">
        <v>103</v>
      </c>
      <c r="P18" s="22" t="s">
        <v>104</v>
      </c>
      <c r="Q18" s="23" t="s">
        <v>28</v>
      </c>
      <c r="R18" s="24" t="s">
        <v>105</v>
      </c>
    </row>
    <row r="19" customFormat="false" ht="15" hidden="false" customHeight="true" outlineLevel="0" collapsed="false">
      <c r="A19" s="11" t="s">
        <v>106</v>
      </c>
      <c r="B19" s="12" t="s">
        <v>107</v>
      </c>
      <c r="C19" s="12" t="s">
        <v>102</v>
      </c>
      <c r="D19" s="12" t="s">
        <v>28</v>
      </c>
      <c r="E19" s="35" t="s">
        <v>28</v>
      </c>
      <c r="F19" s="35" t="s">
        <v>28</v>
      </c>
      <c r="G19" s="35" t="s">
        <v>28</v>
      </c>
      <c r="H19" s="35" t="s">
        <v>28</v>
      </c>
      <c r="I19" s="16" t="n">
        <v>1832.92</v>
      </c>
      <c r="J19" s="17" t="n">
        <v>2825</v>
      </c>
      <c r="K19" s="18" t="n">
        <v>0.65</v>
      </c>
      <c r="L19" s="17" t="n">
        <v>48958</v>
      </c>
      <c r="M19" s="19" t="n">
        <v>4.16</v>
      </c>
      <c r="N19" s="20" t="n">
        <v>1</v>
      </c>
      <c r="O19" s="36" t="s">
        <v>103</v>
      </c>
      <c r="P19" s="22" t="s">
        <v>108</v>
      </c>
      <c r="Q19" s="23" t="s">
        <v>28</v>
      </c>
      <c r="R19" s="24" t="s">
        <v>109</v>
      </c>
    </row>
    <row r="20" customFormat="false" ht="21.75" hidden="false" customHeight="true" outlineLevel="0" collapsed="false">
      <c r="A20" s="11" t="s">
        <v>110</v>
      </c>
      <c r="B20" s="12" t="s">
        <v>53</v>
      </c>
      <c r="C20" s="12" t="s">
        <v>111</v>
      </c>
      <c r="D20" s="12" t="s">
        <v>28</v>
      </c>
      <c r="E20" s="35" t="s">
        <v>28</v>
      </c>
      <c r="F20" s="35" t="s">
        <v>28</v>
      </c>
      <c r="G20" s="35" t="s">
        <v>28</v>
      </c>
      <c r="H20" s="35" t="s">
        <v>28</v>
      </c>
      <c r="I20" s="16" t="n">
        <v>1237.69</v>
      </c>
      <c r="J20" s="17" t="n">
        <v>1332</v>
      </c>
      <c r="K20" s="18" t="n">
        <v>0.93</v>
      </c>
      <c r="L20" s="17" t="n">
        <v>42000</v>
      </c>
      <c r="M20" s="19" t="n">
        <v>3.8</v>
      </c>
      <c r="N20" s="20" t="n">
        <v>6</v>
      </c>
      <c r="O20" s="36" t="s">
        <v>103</v>
      </c>
      <c r="P20" s="22" t="s">
        <v>112</v>
      </c>
      <c r="Q20" s="24" t="s">
        <v>96</v>
      </c>
      <c r="R20" s="24" t="s">
        <v>113</v>
      </c>
    </row>
    <row r="21" customFormat="false" ht="15" hidden="false" customHeight="true" outlineLevel="0" collapsed="false">
      <c r="A21" s="37" t="s">
        <v>114</v>
      </c>
      <c r="B21" s="38"/>
      <c r="C21" s="38"/>
      <c r="D21" s="38"/>
      <c r="E21" s="39" t="n">
        <f aca="false">SUM(E3:E20)</f>
        <v>4634</v>
      </c>
      <c r="F21" s="39" t="n">
        <f aca="false">SUM(F3:F20)</f>
        <v>6400</v>
      </c>
      <c r="G21" s="40" t="n">
        <f aca="false">E21/F21</f>
        <v>0.7240625</v>
      </c>
      <c r="H21" s="39" t="n">
        <f aca="false">SUM(H3:H20)</f>
        <v>2116</v>
      </c>
      <c r="I21" s="39" t="n">
        <f aca="false">SUM(I3:I20)</f>
        <v>9001.1</v>
      </c>
      <c r="J21" s="39" t="n">
        <f aca="false">SUM(J3:J20)</f>
        <v>11989</v>
      </c>
      <c r="K21" s="41" t="n">
        <f aca="false">I21/J21</f>
        <v>0.750779881558095</v>
      </c>
      <c r="L21" s="39" t="n">
        <f aca="false">SUM(L3:L20)</f>
        <v>253929</v>
      </c>
      <c r="M21" s="38"/>
      <c r="N21" s="38"/>
      <c r="O21" s="38"/>
      <c r="P21" s="38"/>
    </row>
  </sheetData>
  <autoFilter ref="A2:R20"/>
  <mergeCells count="4">
    <mergeCell ref="E1:H1"/>
    <mergeCell ref="I1:N1"/>
    <mergeCell ref="O1:P1"/>
    <mergeCell ref="Q1:R1"/>
  </mergeCells>
  <hyperlinks>
    <hyperlink ref="R3" r:id="rId1" display="3-2026 Adamed Cholestil"/>
    <hyperlink ref="R4" r:id="rId2" display="251-2025 Klosterfrau NeoAngin"/>
    <hyperlink ref="Q5" r:id="rId3" display="237-2025 Glenmark Marimer"/>
    <hyperlink ref="R5" r:id="rId4" display="5min Mometazon Ryaltris"/>
    <hyperlink ref="Q6" r:id="rId5" display="237-2025 Glenmark Marimer"/>
    <hyperlink ref="R6" r:id="rId6" display="Poradnik Katar Marimer"/>
    <hyperlink ref="Q7" r:id="rId7" display="199-2025 OrionPharma Bufomix"/>
    <hyperlink ref="R7" r:id="rId8" display="DiL Astma Bufomix"/>
    <hyperlink ref="Q8" r:id="rId9" display="229-2025 Egis Escitalopram"/>
    <hyperlink ref="R8" r:id="rId10" display="5min Escitalopram"/>
    <hyperlink ref="Q9" r:id="rId11" display="159-2025 Pfizer Abrysvo"/>
    <hyperlink ref="R9" r:id="rId12" display="ME RSV Abrysvo"/>
    <hyperlink ref="R10" r:id="rId13" display="DiL POChP Chiesi"/>
    <hyperlink ref="Q11" r:id="rId14" display="235-2024 Exeltis Bonjesta"/>
    <hyperlink ref="R11" r:id="rId15" display="ICS Ciąża Bonjesta"/>
    <hyperlink ref="Q12" r:id="rId16" display="25-2026 Egis Xiltess"/>
    <hyperlink ref="R12" r:id="rId17" display="5min Rivaroxaban Xiltess"/>
    <hyperlink ref="R13" r:id="rId18" display="ICS MagnaPharm Reparil"/>
    <hyperlink ref="Q14" r:id="rId19" display="9-2025 HascoLek Vicetan"/>
    <hyperlink ref="Q15" r:id="rId20" display="234-2025 Merck DiL"/>
    <hyperlink ref="R15" r:id="rId21" display="DiL Cukrzyca+tarczyca"/>
    <hyperlink ref="Q16" r:id="rId22" display="229-2025 Egis"/>
    <hyperlink ref="R16" r:id="rId23" display="VOD TD Modyfikacja leczenia"/>
    <hyperlink ref="Q17" r:id="rId24" display="9-2025 HascoLek Vicetan"/>
    <hyperlink ref="R18" r:id="rId25" display="Poradnik Obniżenie nastroju Trittico"/>
    <hyperlink ref="R19" r:id="rId26" display="Poradnik Stłuszczeniowa wątroba"/>
    <hyperlink ref="Q20" r:id="rId27" display="229-2025 Egis"/>
    <hyperlink ref="R20" r:id="rId28" display="Kalkulatory psychiatryczne Egi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4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7" min="7" style="1" width="50"/>
  </cols>
  <sheetData>
    <row r="1" customFormat="false" ht="23.25" hidden="false" customHeight="true" outlineLevel="0" collapsed="false">
      <c r="A1" s="42" t="s">
        <v>115</v>
      </c>
      <c r="B1" s="42" t="s">
        <v>116</v>
      </c>
      <c r="C1" s="42" t="s">
        <v>117</v>
      </c>
      <c r="D1" s="42" t="s">
        <v>13</v>
      </c>
      <c r="E1" s="42" t="s">
        <v>14</v>
      </c>
      <c r="F1" s="42" t="s">
        <v>118</v>
      </c>
      <c r="G1" s="42" t="s">
        <v>119</v>
      </c>
    </row>
    <row r="2" customFormat="false" ht="15" hidden="false" customHeight="true" outlineLevel="0" collapsed="false">
      <c r="A2" s="43" t="s">
        <v>120</v>
      </c>
      <c r="B2" s="12" t="s">
        <v>121</v>
      </c>
      <c r="C2" s="44" t="n">
        <v>10582.4</v>
      </c>
      <c r="D2" s="45" t="n">
        <v>6051</v>
      </c>
      <c r="E2" s="46" t="n">
        <v>1.75</v>
      </c>
      <c r="F2" s="12" t="s">
        <v>122</v>
      </c>
      <c r="G2" s="47" t="s">
        <v>123</v>
      </c>
    </row>
    <row r="3" customFormat="false" ht="15" hidden="false" customHeight="true" outlineLevel="0" collapsed="false">
      <c r="A3" s="43" t="s">
        <v>124</v>
      </c>
      <c r="B3" s="12" t="s">
        <v>121</v>
      </c>
      <c r="C3" s="44" t="n">
        <v>5231.31</v>
      </c>
      <c r="D3" s="45" t="n">
        <v>532</v>
      </c>
      <c r="E3" s="48" t="n">
        <v>9.83</v>
      </c>
      <c r="F3" s="12" t="s">
        <v>125</v>
      </c>
      <c r="G3" s="47" t="s">
        <v>126</v>
      </c>
    </row>
    <row r="4" customFormat="false" ht="15" hidden="false" customHeight="true" outlineLevel="0" collapsed="false">
      <c r="A4" s="43" t="s">
        <v>127</v>
      </c>
      <c r="B4" s="12" t="s">
        <v>128</v>
      </c>
      <c r="C4" s="44" t="n">
        <v>1094.15</v>
      </c>
      <c r="D4" s="45" t="n">
        <v>512</v>
      </c>
      <c r="E4" s="49" t="n">
        <v>2.14</v>
      </c>
      <c r="F4" s="12" t="s">
        <v>129</v>
      </c>
      <c r="G4" s="47" t="s">
        <v>130</v>
      </c>
    </row>
    <row r="5" customFormat="false" ht="15" hidden="false" customHeight="true" outlineLevel="0" collapsed="false">
      <c r="A5" s="43" t="s">
        <v>131</v>
      </c>
      <c r="B5" s="12" t="s">
        <v>128</v>
      </c>
      <c r="C5" s="44" t="n">
        <v>949.26</v>
      </c>
      <c r="D5" s="45" t="n">
        <v>266</v>
      </c>
      <c r="E5" s="49" t="n">
        <v>3.57</v>
      </c>
      <c r="F5" s="12" t="s">
        <v>129</v>
      </c>
      <c r="G5" s="47" t="s">
        <v>132</v>
      </c>
    </row>
    <row r="6" customFormat="false" ht="15" hidden="false" customHeight="true" outlineLevel="0" collapsed="false">
      <c r="A6" s="43" t="s">
        <v>133</v>
      </c>
      <c r="B6" s="12" t="s">
        <v>37</v>
      </c>
      <c r="C6" s="44" t="n">
        <v>2432.17</v>
      </c>
      <c r="D6" s="45" t="n">
        <v>1840</v>
      </c>
      <c r="E6" s="46" t="n">
        <v>1.32</v>
      </c>
      <c r="F6" s="12" t="s">
        <v>134</v>
      </c>
      <c r="G6" s="47" t="s">
        <v>135</v>
      </c>
    </row>
    <row r="7" customFormat="false" ht="15" hidden="false" customHeight="true" outlineLevel="0" collapsed="false">
      <c r="A7" s="43" t="s">
        <v>136</v>
      </c>
      <c r="B7" s="12" t="s">
        <v>137</v>
      </c>
      <c r="C7" s="44" t="n">
        <v>731.29</v>
      </c>
      <c r="D7" s="45" t="n">
        <v>570</v>
      </c>
      <c r="E7" s="46" t="n">
        <v>1.28</v>
      </c>
      <c r="F7" s="12" t="s">
        <v>134</v>
      </c>
      <c r="G7" s="47" t="s">
        <v>138</v>
      </c>
    </row>
    <row r="8" customFormat="false" ht="15" hidden="false" customHeight="true" outlineLevel="0" collapsed="false">
      <c r="A8" s="43" t="s">
        <v>139</v>
      </c>
      <c r="B8" s="12" t="s">
        <v>53</v>
      </c>
      <c r="C8" s="44" t="n">
        <v>651.19</v>
      </c>
      <c r="D8" s="45" t="n">
        <v>205</v>
      </c>
      <c r="E8" s="49" t="n">
        <v>3.18</v>
      </c>
      <c r="F8" s="12" t="s">
        <v>129</v>
      </c>
      <c r="G8" s="47" t="s">
        <v>140</v>
      </c>
    </row>
    <row r="9" customFormat="false" ht="15" hidden="false" customHeight="true" outlineLevel="0" collapsed="false">
      <c r="A9" s="43" t="s">
        <v>141</v>
      </c>
      <c r="B9" s="12" t="s">
        <v>53</v>
      </c>
      <c r="C9" s="44" t="n">
        <v>574.86</v>
      </c>
      <c r="D9" s="45" t="n">
        <v>267</v>
      </c>
      <c r="E9" s="49" t="n">
        <v>2.15</v>
      </c>
      <c r="F9" s="12" t="s">
        <v>142</v>
      </c>
      <c r="G9" s="47" t="s">
        <v>143</v>
      </c>
    </row>
    <row r="10" customFormat="false" ht="15" hidden="false" customHeight="true" outlineLevel="0" collapsed="false">
      <c r="A10" s="43" t="s">
        <v>144</v>
      </c>
      <c r="B10" s="12" t="s">
        <v>145</v>
      </c>
      <c r="C10" s="44" t="n">
        <v>686.32</v>
      </c>
      <c r="D10" s="45" t="n">
        <v>421</v>
      </c>
      <c r="E10" s="46" t="n">
        <v>1.63</v>
      </c>
      <c r="F10" s="12" t="s">
        <v>146</v>
      </c>
      <c r="G10" s="47" t="s">
        <v>147</v>
      </c>
    </row>
    <row r="11" customFormat="false" ht="15" hidden="false" customHeight="true" outlineLevel="0" collapsed="false">
      <c r="A11" s="43" t="s">
        <v>148</v>
      </c>
      <c r="B11" s="12" t="s">
        <v>90</v>
      </c>
      <c r="C11" s="44" t="n">
        <v>135.59</v>
      </c>
      <c r="D11" s="45" t="n">
        <v>91</v>
      </c>
      <c r="E11" s="46" t="n">
        <v>1.49</v>
      </c>
      <c r="F11" s="12" t="s">
        <v>134</v>
      </c>
      <c r="G11" s="47" t="s">
        <v>149</v>
      </c>
    </row>
    <row r="12" customFormat="false" ht="15" hidden="false" customHeight="true" outlineLevel="0" collapsed="false">
      <c r="A12" s="43" t="s">
        <v>150</v>
      </c>
      <c r="B12" s="12" t="s">
        <v>151</v>
      </c>
      <c r="C12" s="44" t="n">
        <v>8.83</v>
      </c>
      <c r="D12" s="45" t="n">
        <v>13</v>
      </c>
      <c r="E12" s="46" t="n">
        <v>0.68</v>
      </c>
      <c r="F12" s="12" t="s">
        <v>134</v>
      </c>
      <c r="G12" s="47" t="s">
        <v>152</v>
      </c>
    </row>
    <row r="13" customFormat="false" ht="15" hidden="false" customHeight="true" outlineLevel="0" collapsed="false">
      <c r="A13" s="50" t="s">
        <v>153</v>
      </c>
      <c r="C13" s="51" t="n">
        <f aca="false">SUM(C2:C12)</f>
        <v>23077.37</v>
      </c>
      <c r="D13" s="51" t="n">
        <f aca="false">SUM(D2:D12)</f>
        <v>10768</v>
      </c>
      <c r="E13" s="52" t="n">
        <f aca="false">C13/D13</f>
        <v>2.14314357355126</v>
      </c>
    </row>
  </sheetData>
  <autoFilter ref="A1:G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</cols>
  <sheetData>
    <row r="1" customFormat="false" ht="17.25" hidden="false" customHeight="true" outlineLevel="0" collapsed="false">
      <c r="A1" s="53" t="s">
        <v>154</v>
      </c>
    </row>
    <row r="2" customFormat="false" ht="15" hidden="false" customHeight="true" outlineLevel="0" collapsed="false">
      <c r="A2" s="54"/>
      <c r="B2" s="55"/>
    </row>
    <row r="3" customFormat="false" ht="15" hidden="false" customHeight="true" outlineLevel="0" collapsed="false">
      <c r="A3" s="56" t="s">
        <v>155</v>
      </c>
      <c r="B3" s="56" t="s">
        <v>156</v>
      </c>
    </row>
    <row r="4" customFormat="false" ht="15" hidden="false" customHeight="true" outlineLevel="0" collapsed="false">
      <c r="A4" s="54" t="s">
        <v>157</v>
      </c>
      <c r="B4" s="55" t="n">
        <v>15</v>
      </c>
    </row>
    <row r="5" customFormat="false" ht="15" hidden="false" customHeight="true" outlineLevel="0" collapsed="false">
      <c r="A5" s="54" t="s">
        <v>158</v>
      </c>
      <c r="B5" s="51" t="n">
        <f aca="false">COUNTIF('Kampanie unified'!G3:G17,"&gt;="&amp;1)</f>
        <v>2</v>
      </c>
    </row>
    <row r="6" customFormat="false" ht="15" hidden="false" customHeight="true" outlineLevel="0" collapsed="false">
      <c r="A6" s="54" t="s">
        <v>159</v>
      </c>
      <c r="B6" s="51" t="n">
        <f aca="false">COUNTIF('Kampanie unified'!G3:G17,"&lt;"&amp;0.5)</f>
        <v>3</v>
      </c>
    </row>
    <row r="7" customFormat="false" ht="15" hidden="false" customHeight="true" outlineLevel="0" collapsed="false">
      <c r="A7" s="54" t="s">
        <v>160</v>
      </c>
      <c r="B7" s="51" t="n">
        <f aca="false">COUNTIF('Kampanie unified'!I3:I20,"&gt;"&amp;0)</f>
        <v>12</v>
      </c>
    </row>
    <row r="8" customFormat="false" ht="15" hidden="false" customHeight="true" outlineLevel="0" collapsed="false">
      <c r="A8" s="54" t="s">
        <v>161</v>
      </c>
      <c r="B8" s="51" t="n">
        <f aca="false">COUNTIF('Kampanie unified'!I3:I17,0)</f>
        <v>6</v>
      </c>
    </row>
    <row r="9" customFormat="false" ht="15" hidden="false" customHeight="true" outlineLevel="0" collapsed="false">
      <c r="A9" s="54"/>
      <c r="B9" s="55"/>
    </row>
    <row r="10" customFormat="false" ht="15" hidden="false" customHeight="true" outlineLevel="0" collapsed="false">
      <c r="A10" s="57" t="s">
        <v>162</v>
      </c>
    </row>
    <row r="11" customFormat="false" ht="15" hidden="false" customHeight="true" outlineLevel="0" collapsed="false">
      <c r="A11" s="54" t="s">
        <v>163</v>
      </c>
      <c r="B11" s="51" t="n">
        <f aca="false">'Kampanie unified'!E21</f>
        <v>4634</v>
      </c>
    </row>
    <row r="12" customFormat="false" ht="15" hidden="false" customHeight="true" outlineLevel="0" collapsed="false">
      <c r="A12" s="54" t="s">
        <v>164</v>
      </c>
      <c r="B12" s="51" t="n">
        <f aca="false">'Kampanie unified'!F21</f>
        <v>6400</v>
      </c>
    </row>
    <row r="13" customFormat="false" ht="15" hidden="false" customHeight="true" outlineLevel="0" collapsed="false">
      <c r="A13" s="54" t="s">
        <v>10</v>
      </c>
      <c r="B13" s="58" t="n">
        <f aca="false">'Kampanie unified'!G21</f>
        <v>0.7240625</v>
      </c>
    </row>
    <row r="14" customFormat="false" ht="15" hidden="false" customHeight="true" outlineLevel="0" collapsed="false">
      <c r="A14" s="54"/>
      <c r="B14" s="55"/>
    </row>
    <row r="15" customFormat="false" ht="15" hidden="false" customHeight="true" outlineLevel="0" collapsed="false">
      <c r="A15" s="57" t="s">
        <v>165</v>
      </c>
    </row>
    <row r="16" customFormat="false" ht="15" hidden="false" customHeight="true" outlineLevel="0" collapsed="false">
      <c r="A16" s="54" t="s">
        <v>166</v>
      </c>
      <c r="B16" s="51" t="n">
        <f aca="false">SUM('Kampanie unified'!I3:I17)</f>
        <v>2694.58</v>
      </c>
    </row>
    <row r="17" customFormat="false" ht="15" hidden="false" customHeight="true" outlineLevel="0" collapsed="false">
      <c r="A17" s="54" t="s">
        <v>167</v>
      </c>
      <c r="B17" s="51" t="n">
        <f aca="false">SUM('Kampanie unified'!I18:I20)</f>
        <v>6306.52</v>
      </c>
    </row>
    <row r="18" customFormat="false" ht="15" hidden="false" customHeight="true" outlineLevel="0" collapsed="false">
      <c r="A18" s="54" t="s">
        <v>168</v>
      </c>
      <c r="B18" s="51" t="n">
        <f aca="false">'Meta bez KPI'!C13</f>
        <v>23077.37</v>
      </c>
    </row>
    <row r="19" customFormat="false" ht="15" hidden="false" customHeight="true" outlineLevel="0" collapsed="false">
      <c r="A19" s="54" t="s">
        <v>169</v>
      </c>
      <c r="B19" s="51" t="n">
        <f aca="false">B16+B17+B18</f>
        <v>32078.47</v>
      </c>
    </row>
    <row r="20" customFormat="false" ht="15" hidden="false" customHeight="true" outlineLevel="0" collapsed="false">
      <c r="A20" s="54"/>
      <c r="B20" s="55"/>
    </row>
    <row r="21" customFormat="false" ht="15" hidden="false" customHeight="true" outlineLevel="0" collapsed="false">
      <c r="A21" s="57" t="s">
        <v>170</v>
      </c>
    </row>
    <row r="22" customFormat="false" ht="15" hidden="false" customHeight="true" outlineLevel="0" collapsed="false">
      <c r="A22" s="54" t="s">
        <v>171</v>
      </c>
      <c r="B22" s="55" t="s">
        <v>172</v>
      </c>
    </row>
    <row r="23" customFormat="false" ht="15" hidden="false" customHeight="true" outlineLevel="0" collapsed="false">
      <c r="A23" s="54" t="s">
        <v>111</v>
      </c>
      <c r="B23" s="55" t="s">
        <v>173</v>
      </c>
    </row>
    <row r="24" customFormat="false" ht="15" hidden="false" customHeight="true" outlineLevel="0" collapsed="false">
      <c r="A24" s="54" t="s">
        <v>32</v>
      </c>
      <c r="B24" s="55" t="s">
        <v>174</v>
      </c>
    </row>
    <row r="25" customFormat="false" ht="15" hidden="false" customHeight="true" outlineLevel="0" collapsed="false">
      <c r="A25" s="54" t="s">
        <v>42</v>
      </c>
      <c r="B25" s="55" t="s">
        <v>175</v>
      </c>
    </row>
    <row r="26" customFormat="false" ht="15" hidden="false" customHeight="true" outlineLevel="0" collapsed="false">
      <c r="A26" s="54" t="s">
        <v>176</v>
      </c>
      <c r="B26" s="55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2026-03-18T22:31:12Z</dcterms:created>
  <dc:creator>openpyxl</dc:creator>
  <dc:description/>
  <dc:language>en-US</dc:language>
  <cp:lastModifiedBy/>
  <dcterms:modified xsi:type="dcterms:W3CDTF">2026-03-18T22:39:38Z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